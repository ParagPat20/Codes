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roBee" sheetId="1" r:id="rId5"/>
    <sheet state="visible" name="Rollopod" sheetId="2" r:id="rId6"/>
    <sheet state="visible" name="KiBee" sheetId="3" r:id="rId7"/>
    <sheet state="visible" name="FLF" sheetId="4" r:id="rId8"/>
  </sheets>
  <definedNames/>
  <calcPr/>
</workbook>
</file>

<file path=xl/sharedStrings.xml><?xml version="1.0" encoding="utf-8"?>
<sst xmlns="http://schemas.openxmlformats.org/spreadsheetml/2006/main" count="248" uniqueCount="108">
  <si>
    <t>Product</t>
  </si>
  <si>
    <t>Qty</t>
  </si>
  <si>
    <t>OWNED</t>
  </si>
  <si>
    <t>Q1</t>
  </si>
  <si>
    <t>Q2</t>
  </si>
  <si>
    <t>Q3</t>
  </si>
  <si>
    <t>Selection</t>
  </si>
  <si>
    <t>Final Total</t>
  </si>
  <si>
    <t>Link</t>
  </si>
  <si>
    <t>Amount</t>
  </si>
  <si>
    <t>High Torque Servo Motors</t>
  </si>
  <si>
    <t>ESP32 XIAO</t>
  </si>
  <si>
    <t>Microcontroller</t>
  </si>
  <si>
    <t>Flight Controller Stack</t>
  </si>
  <si>
    <t>RoboticsDNA</t>
  </si>
  <si>
    <t>HitechXYZ</t>
  </si>
  <si>
    <t>MPU6050</t>
  </si>
  <si>
    <t>DC Motor</t>
  </si>
  <si>
    <t>Battery</t>
  </si>
  <si>
    <t>Robokits</t>
  </si>
  <si>
    <t>ESP8266</t>
  </si>
  <si>
    <t>Robu</t>
  </si>
  <si>
    <t>Servo</t>
  </si>
  <si>
    <t>Evelta</t>
  </si>
  <si>
    <t>Mic Module</t>
  </si>
  <si>
    <t>ESP32 DevKit Module</t>
  </si>
  <si>
    <t>ZBotic</t>
  </si>
  <si>
    <t>Robocraze</t>
  </si>
  <si>
    <t>Speaker Module</t>
  </si>
  <si>
    <t>Flyrobo</t>
  </si>
  <si>
    <t>TB6612</t>
  </si>
  <si>
    <t>Servo Motor</t>
  </si>
  <si>
    <t>PCA9685 Servo Driver</t>
  </si>
  <si>
    <t>BLDC Motor</t>
  </si>
  <si>
    <t>Switch</t>
  </si>
  <si>
    <t>RGB LED</t>
  </si>
  <si>
    <t>3S 1000mAh Battery</t>
  </si>
  <si>
    <t>IMU</t>
  </si>
  <si>
    <t>Buck Converter</t>
  </si>
  <si>
    <t>8 IR Sensor Array</t>
  </si>
  <si>
    <t>Touch Sensor</t>
  </si>
  <si>
    <t>OpenHD Companion Computer</t>
  </si>
  <si>
    <t>Charging Module</t>
  </si>
  <si>
    <t>Voltage Regulator</t>
  </si>
  <si>
    <t>OpenHD Video Reciever</t>
  </si>
  <si>
    <t>XT60</t>
  </si>
  <si>
    <t>Display</t>
  </si>
  <si>
    <t>Wifi module</t>
  </si>
  <si>
    <t>HubTronics</t>
  </si>
  <si>
    <t>ToF</t>
  </si>
  <si>
    <t>PerfBoard</t>
  </si>
  <si>
    <t>Amazon</t>
  </si>
  <si>
    <t>Pogo Pins</t>
  </si>
  <si>
    <t>Pending</t>
  </si>
  <si>
    <t xml:space="preserve">TOTAL    </t>
  </si>
  <si>
    <t>Antenna</t>
  </si>
  <si>
    <t>4S Li-ion 5200mAh</t>
  </si>
  <si>
    <t>QuartzComponents</t>
  </si>
  <si>
    <t>8mm Bearing</t>
  </si>
  <si>
    <t>3S Lipo 6000mAh</t>
  </si>
  <si>
    <t>8mm Rod</t>
  </si>
  <si>
    <t xml:space="preserve">Robu </t>
  </si>
  <si>
    <t>10mm Bearing</t>
  </si>
  <si>
    <t>OnlyScrews</t>
  </si>
  <si>
    <t>BMS</t>
  </si>
  <si>
    <t>10mm Rod</t>
  </si>
  <si>
    <t>Battery Charger</t>
  </si>
  <si>
    <t>Propellers</t>
  </si>
  <si>
    <t>HiTechXYZ</t>
  </si>
  <si>
    <t>Voltage Monitor</t>
  </si>
  <si>
    <t>RCMumbai</t>
  </si>
  <si>
    <t>Brass-Inserts</t>
  </si>
  <si>
    <t>IMU Sensor</t>
  </si>
  <si>
    <t>Capacitors</t>
  </si>
  <si>
    <t>Knurled Brass inserts</t>
  </si>
  <si>
    <t>UBEC</t>
  </si>
  <si>
    <t xml:space="preserve">EXTRAS: </t>
  </si>
  <si>
    <t>Threadlocker</t>
  </si>
  <si>
    <t>Solder</t>
  </si>
  <si>
    <t>Heat Shrink</t>
  </si>
  <si>
    <t>Connectors</t>
  </si>
  <si>
    <t>Crimp Terminals</t>
  </si>
  <si>
    <t>JST Connectors</t>
  </si>
  <si>
    <t>XT60 Pairs</t>
  </si>
  <si>
    <t>Aluminium Sheet</t>
  </si>
  <si>
    <t>Carbon Fiber Plate</t>
  </si>
  <si>
    <t>Carbon Fiber Tube</t>
  </si>
  <si>
    <t>3D Printed Parts</t>
  </si>
  <si>
    <t>Heat-set Inserts</t>
  </si>
  <si>
    <t>Wiring</t>
  </si>
  <si>
    <t>Vendors</t>
  </si>
  <si>
    <t>Sleeving</t>
  </si>
  <si>
    <t>Zip Ties</t>
  </si>
  <si>
    <t>Cable Chain</t>
  </si>
  <si>
    <t>IndianRoboStore</t>
  </si>
  <si>
    <t>ThinkRobotics</t>
  </si>
  <si>
    <t>RobotSkull</t>
  </si>
  <si>
    <t>UAV Marketplace</t>
  </si>
  <si>
    <t>QuadKart</t>
  </si>
  <si>
    <t>KTron</t>
  </si>
  <si>
    <t>Quartz Components</t>
  </si>
  <si>
    <t>Thingbits</t>
  </si>
  <si>
    <t>Prompt</t>
  </si>
  <si>
    <t>Product:</t>
  </si>
  <si>
    <t>Must check Features:</t>
  </si>
  <si>
    <t>Strictly search on these Stores:</t>
  </si>
  <si>
    <t>Robu, Flyrobo, Robokits, Evelta, ZBotic, Robocraze, IndianRoboStore, ThinkRobotics, RobotSkullUAV, Marketplace, QuadKart, KTron, Thingbits, OnlyScrews, Quartz Components, Amazon</t>
  </si>
  <si>
    <t>Budget: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</si>
</sst>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15">
    <font>
      <sz val="10.0"/>
      <color rgb="FF000000"/>
      <name val="Arial"/>
      <scheme val="minor"/>
    </font>
    <font>
      <b/>
      <color rgb="FFFFFFFF"/>
      <name val="Lexend"/>
    </font>
    <font/>
    <font>
      <color theme="1"/>
      <name val="Lexend"/>
    </font>
    <font>
      <color rgb="FF434343"/>
      <name val="Lexend"/>
    </font>
    <font>
      <color theme="1"/>
      <name val="Arial"/>
      <scheme val="minor"/>
    </font>
    <font>
      <color rgb="FF191A1F"/>
      <name val="Lexend"/>
    </font>
    <font>
      <u/>
      <color rgb="FF0000FF"/>
      <name val="Lexend"/>
    </font>
    <font>
      <u/>
      <color rgb="FF0000FF"/>
      <name val="Lexend"/>
    </font>
    <font>
      <b/>
      <color theme="1"/>
      <name val="Lexend"/>
    </font>
    <font>
      <b/>
      <color theme="1"/>
      <name val="Arial"/>
      <scheme val="minor"/>
    </font>
    <font>
      <u/>
      <color rgb="FF0000FF"/>
      <name val="Lexend"/>
    </font>
    <font>
      <b/>
      <color rgb="FF434343"/>
      <name val="Lexend"/>
    </font>
    <font>
      <u/>
      <color rgb="FF0000FF"/>
      <name val="Lexend"/>
    </font>
    <font>
      <u/>
      <color rgb="FF0000FF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00"/>
        <bgColor rgb="FFFFFF00"/>
      </patternFill>
    </fill>
    <fill>
      <patternFill patternType="solid">
        <fgColor rgb="FFECECF3"/>
        <bgColor rgb="FFECECF3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vertical="center" wrapText="1"/>
    </xf>
    <xf borderId="5" fillId="2" fontId="1" numFmtId="164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6" numFmtId="164" xfId="0" applyAlignment="1" applyBorder="1" applyFont="1" applyNumberForma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5" numFmtId="164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horizontal="center" readingOrder="0" shrinkToFit="0" vertical="center" wrapText="1"/>
    </xf>
    <xf borderId="5" fillId="3" fontId="8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" fillId="4" fontId="9" numFmtId="0" xfId="0" applyAlignment="1" applyBorder="1" applyFill="1" applyFont="1">
      <alignment horizontal="center" readingOrder="0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6" fillId="0" fontId="2" numFmtId="0" xfId="0" applyBorder="1" applyFont="1"/>
    <xf borderId="5" fillId="4" fontId="9" numFmtId="164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center" readingOrder="0" shrinkToFit="0" vertical="center" wrapText="1"/>
    </xf>
    <xf borderId="5" fillId="4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5" fillId="4" fontId="12" numFmtId="0" xfId="0" applyAlignment="1" applyBorder="1" applyFont="1">
      <alignment horizontal="center" shrinkToFit="0" vertical="center" wrapText="1"/>
    </xf>
    <xf borderId="5" fillId="4" fontId="12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5" fillId="5" fontId="3" numFmtId="0" xfId="0" applyAlignment="1" applyBorder="1" applyFill="1" applyFont="1">
      <alignment horizontal="center"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7" fillId="0" fontId="13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7E7ED"/>
          <bgColor rgb="FFE7E7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AeroBee-style">
      <tableStyleElement dxfId="1" type="firstRowStripe"/>
      <tableStyleElement dxfId="2" type="secondRowStripe"/>
    </tableStyle>
    <tableStyle count="2" pivot="0" name="KiBee-style">
      <tableStyleElement dxfId="1" type="firstRowStripe"/>
      <tableStyleElement dxfId="2" type="secondRowStripe"/>
    </tableStyle>
    <tableStyle count="2" pivot="0" name="FLF-style">
      <tableStyleElement dxfId="1" type="firstRowStripe"/>
      <tableStyleElement dxfId="2" type="secondRowStripe"/>
    </tableStyle>
    <tableStyle count="2" pivot="0" name="Rollopo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L18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eroBee-style" showColumnStripes="0" showFirstColumn="1" showLastColumn="1" showRowStripes="1"/>
</table>
</file>

<file path=xl/tables/table2.xml><?xml version="1.0" encoding="utf-8"?>
<table xmlns="http://schemas.openxmlformats.org/spreadsheetml/2006/main" headerRowCount="0" ref="A3:K18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ollopod-style" showColumnStripes="0" showFirstColumn="1" showLastColumn="1" showRowStripes="1"/>
</table>
</file>

<file path=xl/tables/table3.xml><?xml version="1.0" encoding="utf-8"?>
<table xmlns="http://schemas.openxmlformats.org/spreadsheetml/2006/main" headerRowCount="0" ref="A3:K17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KiBee-style" showColumnStripes="0" showFirstColumn="1" showLastColumn="1" showRowStripes="1"/>
</table>
</file>

<file path=xl/tables/table4.xml><?xml version="1.0" encoding="utf-8"?>
<table xmlns="http://schemas.openxmlformats.org/spreadsheetml/2006/main" headerRowCount="0" ref="A3:K17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L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dianrobostore.com/" TargetMode="External"/><Relationship Id="rId42" Type="http://schemas.openxmlformats.org/officeDocument/2006/relationships/hyperlink" Target="https://www.robotskullindia.com/" TargetMode="External"/><Relationship Id="rId41" Type="http://schemas.openxmlformats.org/officeDocument/2006/relationships/hyperlink" Target="http://thinkrobotics.com/" TargetMode="External"/><Relationship Id="rId44" Type="http://schemas.openxmlformats.org/officeDocument/2006/relationships/hyperlink" Target="http://quadkart.in/" TargetMode="External"/><Relationship Id="rId43" Type="http://schemas.openxmlformats.org/officeDocument/2006/relationships/hyperlink" Target="http://www.uavmarketplace.in/" TargetMode="External"/><Relationship Id="rId46" Type="http://schemas.openxmlformats.org/officeDocument/2006/relationships/hyperlink" Target="https://onlyscrews.in/" TargetMode="External"/><Relationship Id="rId45" Type="http://schemas.openxmlformats.org/officeDocument/2006/relationships/hyperlink" Target="https://www.ktron.in/" TargetMode="External"/><Relationship Id="rId1" Type="http://schemas.openxmlformats.org/officeDocument/2006/relationships/hyperlink" Target="https://hitechxyz.in/products/speedybee-f405-v4-bls-60a-30x30-flight-controller-esc-stack-for-fpv-drone" TargetMode="External"/><Relationship Id="rId2" Type="http://schemas.openxmlformats.org/officeDocument/2006/relationships/hyperlink" Target="https://evelta.com/ft90m-6v-2-3kg-cm-280deg-digital-servo-motor/" TargetMode="External"/><Relationship Id="rId3" Type="http://schemas.openxmlformats.org/officeDocument/2006/relationships/hyperlink" Target="https://robocraze.com/products/mg90s-servo-motor" TargetMode="External"/><Relationship Id="rId4" Type="http://schemas.openxmlformats.org/officeDocument/2006/relationships/hyperlink" Target="https://robokits.co.in/motors/rc-servo-motor/mg90s-semi-metal-gear-servo-motor-9g-premium" TargetMode="External"/><Relationship Id="rId9" Type="http://schemas.openxmlformats.org/officeDocument/2006/relationships/hyperlink" Target="https://robu.in/product/raspberry-pi-3-model-a/" TargetMode="External"/><Relationship Id="rId48" Type="http://schemas.openxmlformats.org/officeDocument/2006/relationships/hyperlink" Target="http://amazon.in/" TargetMode="External"/><Relationship Id="rId47" Type="http://schemas.openxmlformats.org/officeDocument/2006/relationships/hyperlink" Target="https://quartzcomponents.com/" TargetMode="External"/><Relationship Id="rId49" Type="http://schemas.openxmlformats.org/officeDocument/2006/relationships/hyperlink" Target="http://thingbits.in/" TargetMode="External"/><Relationship Id="rId5" Type="http://schemas.openxmlformats.org/officeDocument/2006/relationships/hyperlink" Target="https://evelta.com/rs2205-2300kv-ccw-brushless-motor/" TargetMode="External"/><Relationship Id="rId6" Type="http://schemas.openxmlformats.org/officeDocument/2006/relationships/hyperlink" Target="https://evelta.com/2205-2300kv-3-4s-cw-ccw-brushless-motor/" TargetMode="External"/><Relationship Id="rId7" Type="http://schemas.openxmlformats.org/officeDocument/2006/relationships/hyperlink" Target="https://hitechxyz.in/products/rs2205-2300kv-cw-brushless-motor-for-5-inch-fpv-racing-drone" TargetMode="External"/><Relationship Id="rId8" Type="http://schemas.openxmlformats.org/officeDocument/2006/relationships/hyperlink" Target="https://evelta.com/raspberry-pi-zero-2-w/" TargetMode="External"/><Relationship Id="rId31" Type="http://schemas.openxmlformats.org/officeDocument/2006/relationships/hyperlink" Target="https://robu.in/product/ubec-5v-7a/" TargetMode="External"/><Relationship Id="rId30" Type="http://schemas.openxmlformats.org/officeDocument/2006/relationships/hyperlink" Target="https://zbotic.in/product/ubec-5v-7a/" TargetMode="External"/><Relationship Id="rId33" Type="http://schemas.openxmlformats.org/officeDocument/2006/relationships/hyperlink" Target="https://robokits.co.in/batteries-chargers/drone-batteries/genx-power-premium-lipo-battery/genxpower-14.8v-lipo-batteries/genx-14.8v-4s-2200mah-40c-80c-premium-lipo-lithium-polymer-battery" TargetMode="External"/><Relationship Id="rId32" Type="http://schemas.openxmlformats.org/officeDocument/2006/relationships/hyperlink" Target="https://www.flyrobo.in/readytosky-5v-7a-ubec" TargetMode="External"/><Relationship Id="rId35" Type="http://schemas.openxmlformats.org/officeDocument/2006/relationships/hyperlink" Target="http://flyrobo.in/" TargetMode="External"/><Relationship Id="rId34" Type="http://schemas.openxmlformats.org/officeDocument/2006/relationships/hyperlink" Target="http://robu.in/" TargetMode="External"/><Relationship Id="rId37" Type="http://schemas.openxmlformats.org/officeDocument/2006/relationships/hyperlink" Target="http://evelta.com/" TargetMode="External"/><Relationship Id="rId36" Type="http://schemas.openxmlformats.org/officeDocument/2006/relationships/hyperlink" Target="http://robokits.in/" TargetMode="External"/><Relationship Id="rId39" Type="http://schemas.openxmlformats.org/officeDocument/2006/relationships/hyperlink" Target="https://robocraze.com/" TargetMode="External"/><Relationship Id="rId38" Type="http://schemas.openxmlformats.org/officeDocument/2006/relationships/hyperlink" Target="https://zbotic.in/" TargetMode="External"/><Relationship Id="rId20" Type="http://schemas.openxmlformats.org/officeDocument/2006/relationships/hyperlink" Target="https://quartzcomponents.com/products/6000-zz-metal-double-shielded-miniature-ball-bearings10mm-x-26mm-x-8mm-robotics" TargetMode="External"/><Relationship Id="rId22" Type="http://schemas.openxmlformats.org/officeDocument/2006/relationships/hyperlink" Target="https://robu.in/product/carbon-fiber-tube-hollow10mmod8mmid330mml-twill/" TargetMode="External"/><Relationship Id="rId21" Type="http://schemas.openxmlformats.org/officeDocument/2006/relationships/hyperlink" Target="https://onlyscrews.in/products/6000-2rs-rubber-sealed-ball-bearing-10x26x8" TargetMode="External"/><Relationship Id="rId24" Type="http://schemas.openxmlformats.org/officeDocument/2006/relationships/hyperlink" Target="https://hitechxyz.in/products/gemfan-51433-hurricane-pc-3-blade-propellers-skitzo-galaxy-2cw-2ccw" TargetMode="External"/><Relationship Id="rId23" Type="http://schemas.openxmlformats.org/officeDocument/2006/relationships/hyperlink" Target="https://robu.in/product/orange-hd-51433-hurricane-pc-3-blade-propellers-2cw2ccw-skitzo-galaxy/" TargetMode="External"/><Relationship Id="rId26" Type="http://schemas.openxmlformats.org/officeDocument/2006/relationships/hyperlink" Target="https://onlyscrews.in/products/m3-x-5mm-3d-printing-brass-threaded-inserts-dia-3mm-length-5mm" TargetMode="External"/><Relationship Id="rId25" Type="http://schemas.openxmlformats.org/officeDocument/2006/relationships/hyperlink" Target="https://rcmumbai.com/products/gf-51466l-moonlight-led-props-white-no-accessories" TargetMode="External"/><Relationship Id="rId28" Type="http://schemas.openxmlformats.org/officeDocument/2006/relationships/hyperlink" Target="https://www.flyrobo.in/xt60_male_female_bullet_connector_plug" TargetMode="External"/><Relationship Id="rId27" Type="http://schemas.openxmlformats.org/officeDocument/2006/relationships/hyperlink" Target="https://robu.in/product/xt60h-connector-with-housing-male/" TargetMode="External"/><Relationship Id="rId29" Type="http://schemas.openxmlformats.org/officeDocument/2006/relationships/hyperlink" Target="https://robokits.co.in/batteries-chargers/accessories/plugs-and-connectors/amass-xt60e-m-mountable-xt60-male-plug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robokits.co.in/iot-wireless-solutions/wireless-serial-modules/rtl8812au-usb-long-range-ac1200-wifi-module-for-openipc" TargetMode="External"/><Relationship Id="rId10" Type="http://schemas.openxmlformats.org/officeDocument/2006/relationships/hyperlink" Target="https://robu.in/product/raspberry-pi-5-model-8gb/" TargetMode="External"/><Relationship Id="rId13" Type="http://schemas.openxmlformats.org/officeDocument/2006/relationships/hyperlink" Target="https://www.amazon.in/gp/product/B0859M539M/ref=ox_sc_act_title_7?smid=AJ6SIZC8YQDZX&amp;th=1" TargetMode="External"/><Relationship Id="rId12" Type="http://schemas.openxmlformats.org/officeDocument/2006/relationships/hyperlink" Target="https://hubtronics.in/BL-M8812EU2" TargetMode="External"/><Relationship Id="rId15" Type="http://schemas.openxmlformats.org/officeDocument/2006/relationships/hyperlink" Target="https://robocraze.com/products/6dbi-2-4ghz-duck-antenna-sma-male" TargetMode="External"/><Relationship Id="rId14" Type="http://schemas.openxmlformats.org/officeDocument/2006/relationships/hyperlink" Target="https://quartzcomponents.com/products/2-4ghz-5g-12dbi-dual-band-wifi-antenna-with-rp-sma-male-connector" TargetMode="External"/><Relationship Id="rId17" Type="http://schemas.openxmlformats.org/officeDocument/2006/relationships/hyperlink" Target="https://robocraze.com/products/radial-ball-bearing-608zz-for-3d-printer" TargetMode="External"/><Relationship Id="rId16" Type="http://schemas.openxmlformats.org/officeDocument/2006/relationships/hyperlink" Target="https://www.flyrobo.in/radial-ball-bearing-608zz-for-3d-printer" TargetMode="External"/><Relationship Id="rId19" Type="http://schemas.openxmlformats.org/officeDocument/2006/relationships/hyperlink" Target="https://robu.in/product/pultruded-carbon-fibre-tube-hollow-8mm-6mm-1000mm/" TargetMode="External"/><Relationship Id="rId18" Type="http://schemas.openxmlformats.org/officeDocument/2006/relationships/hyperlink" Target="https://robu.in/product/606zz-bearing-6x17x6-stainless-steel-shielded-miniature-bearing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oboticsdna.in/product/servo-150kg-rds51150-270degree-metal-gear-digital-servo-motor-arduino-high-torque/" TargetMode="External"/><Relationship Id="rId2" Type="http://schemas.openxmlformats.org/officeDocument/2006/relationships/hyperlink" Target="https://robokits.co.in/motors/rhino-ig32-12v-20w-dc-motors/dc-servo-encoder-12v-motor/rhino-100rpm-25kgcm-12v-dc-planetary-geared-quad-encoder-servo-motor" TargetMode="External"/><Relationship Id="rId3" Type="http://schemas.openxmlformats.org/officeDocument/2006/relationships/hyperlink" Target="https://robokits.co.in/motors/ig45-12v-50w-dc-geared-motor/ig45-12v-50w-encoder-servo-motor/industrial-grade-ig45-planetary-dc-geared-encoder-servo-motor-50w-100rpm-12v-30kgcm" TargetMode="External"/><Relationship Id="rId4" Type="http://schemas.openxmlformats.org/officeDocument/2006/relationships/hyperlink" Target="https://robu.in/product/pro-range-planetary-gear-dc-motor-12v-96rpm-121-7-n-cm-pg36m555-50-9k-with-encoder-me-377ppr/" TargetMode="External"/><Relationship Id="rId9" Type="http://schemas.openxmlformats.org/officeDocument/2006/relationships/hyperlink" Target="https://robokits.co.in/development-board/motor-control-boards/rc-servo-controller/pca9685-16-channel-12-bit-pwm-servo-driver-i2c-compatible-with-arduino" TargetMode="External"/><Relationship Id="rId5" Type="http://schemas.openxmlformats.org/officeDocument/2006/relationships/hyperlink" Target="https://zbotic.in/product/esp-wroom-32-wifi-bluetooth-development-board/" TargetMode="External"/><Relationship Id="rId6" Type="http://schemas.openxmlformats.org/officeDocument/2006/relationships/hyperlink" Target="https://robocraze.com/products/nodemcu-32-wifi-bluetooth-esp32-development-board30-pin" TargetMode="External"/><Relationship Id="rId7" Type="http://schemas.openxmlformats.org/officeDocument/2006/relationships/hyperlink" Target="https://www.flyrobo.in/esp32-development-board-with-type-c-and-ch340" TargetMode="External"/><Relationship Id="rId8" Type="http://schemas.openxmlformats.org/officeDocument/2006/relationships/hyperlink" Target="https://robocraze.com/products/pca9685-16-channel-servo-motor-driversoldered" TargetMode="External"/><Relationship Id="rId20" Type="http://schemas.openxmlformats.org/officeDocument/2006/relationships/hyperlink" Target="https://robu.in/product/samsung-inr-21700-50s-14-8v-5000mah-4s1p/" TargetMode="External"/><Relationship Id="rId22" Type="http://schemas.openxmlformats.org/officeDocument/2006/relationships/hyperlink" Target="https://robu.in/product/orange-11-1v-6200mah-3s-40c-lipo-battery-pack-xt60-connector/" TargetMode="External"/><Relationship Id="rId21" Type="http://schemas.openxmlformats.org/officeDocument/2006/relationships/hyperlink" Target="https://robokits.co.in/batteries-chargers/drone-batteries/genx-power-premium-lipo-battery/genxpower-11.1v-lipo-batteries/genx-11.1v-3s-6800mah-40c-80c-premium-lipo-lithium-polymer-battery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www.flyrobo.in/3s-20a-li-ion-18650-bms-lithium-battery-protection-board" TargetMode="External"/><Relationship Id="rId26" Type="http://schemas.openxmlformats.org/officeDocument/2006/relationships/table" Target="../tables/table2.xml"/><Relationship Id="rId11" Type="http://schemas.openxmlformats.org/officeDocument/2006/relationships/hyperlink" Target="https://www.flyrobo.in/mini-360-dc-dc-buck-converter-step-down-module" TargetMode="External"/><Relationship Id="rId10" Type="http://schemas.openxmlformats.org/officeDocument/2006/relationships/hyperlink" Target="https://www.flyrobo.in/16_channel_pwm_servo_motor_driver_i2c_module" TargetMode="External"/><Relationship Id="rId13" Type="http://schemas.openxmlformats.org/officeDocument/2006/relationships/hyperlink" Target="https://www.flyrobo.in/kcd1-101-2pin-boat-rocker-switch" TargetMode="External"/><Relationship Id="rId12" Type="http://schemas.openxmlformats.org/officeDocument/2006/relationships/hyperlink" Target="https://robokits.co.in/power-supply/dc-dc-power-supply/mini360-rc-power-supply-step-down-module" TargetMode="External"/><Relationship Id="rId15" Type="http://schemas.openxmlformats.org/officeDocument/2006/relationships/hyperlink" Target="https://robu.in/product/xt60h-connector-with-housing-male/" TargetMode="External"/><Relationship Id="rId14" Type="http://schemas.openxmlformats.org/officeDocument/2006/relationships/hyperlink" Target="https://robocraze.com/products/rocker-switch-16a-250v-spdt-3pin-red-led-3" TargetMode="External"/><Relationship Id="rId17" Type="http://schemas.openxmlformats.org/officeDocument/2006/relationships/hyperlink" Target="https://robokits.co.in/batteries-chargers/accessories/plugs-and-connectors/amass-xt60e-m-mountable-xt60-male-plug" TargetMode="External"/><Relationship Id="rId16" Type="http://schemas.openxmlformats.org/officeDocument/2006/relationships/hyperlink" Target="https://www.flyrobo.in/xt60_male_female_bullet_connector_plug" TargetMode="External"/><Relationship Id="rId19" Type="http://schemas.openxmlformats.org/officeDocument/2006/relationships/hyperlink" Target="https://robokits.co.in/batteries-chargers/drone-batteries/genx-power-premium-lipo-battery/genxpower-14.8v-lipo-batteries/genx-14.8v-4s-5200mah-40c-80c-premium-lipo-lithium-polymer-battery" TargetMode="External"/><Relationship Id="rId18" Type="http://schemas.openxmlformats.org/officeDocument/2006/relationships/hyperlink" Target="https://www.flyrobo.in/9-x-15-cm-double-side-universal-pcb-prototype-boar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5.0"/>
    <col customWidth="1" min="3" max="3" width="9.88"/>
    <col customWidth="1" min="4" max="4" width="15.0"/>
    <col customWidth="1" min="5" max="5" width="8.13"/>
    <col customWidth="1" min="6" max="6" width="12.63"/>
    <col customWidth="1" min="7" max="7" width="8.25"/>
    <col customWidth="1" min="8" max="8" width="13.0"/>
    <col customWidth="1" min="9" max="9" width="7.88"/>
    <col customWidth="1" min="10" max="10" width="10.0"/>
    <col customWidth="1" min="11" max="11" width="13.75"/>
  </cols>
  <sheetData>
    <row r="1" ht="27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2" t="s">
        <v>5</v>
      </c>
      <c r="I1" s="3"/>
      <c r="J1" s="1" t="s">
        <v>6</v>
      </c>
      <c r="K1" s="1" t="s">
        <v>7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7.0" customHeight="1">
      <c r="A2" s="7"/>
      <c r="B2" s="7"/>
      <c r="C2" s="7"/>
      <c r="D2" s="8" t="s">
        <v>8</v>
      </c>
      <c r="E2" s="9" t="s">
        <v>9</v>
      </c>
      <c r="F2" s="8" t="s">
        <v>8</v>
      </c>
      <c r="G2" s="9" t="s">
        <v>9</v>
      </c>
      <c r="H2" s="8" t="s">
        <v>8</v>
      </c>
      <c r="I2" s="9" t="s">
        <v>9</v>
      </c>
      <c r="J2" s="7"/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8.5" customHeight="1">
      <c r="A3" s="10" t="s">
        <v>13</v>
      </c>
      <c r="B3" s="10">
        <v>1.0</v>
      </c>
      <c r="C3" s="10" t="b">
        <v>1</v>
      </c>
      <c r="D3" s="15" t="str">
        <f>HYPERLINK("https://robu.in/product/35a-4in1-esc-f4-v3s-plus-flight-control-v3-5-v3-s-built-in-image-filtering-osd/", "Robu.in")</f>
        <v>Robu.in</v>
      </c>
      <c r="E3" s="12">
        <v>7847.0</v>
      </c>
      <c r="F3" s="15" t="str">
        <f>HYPERLINK("https://robocraze.com/products/hglrc-specter-f460-electronic-stack-with-4-in-1-esc", "Robocraze")</f>
        <v>Robocraze</v>
      </c>
      <c r="G3" s="12">
        <v>9429.0</v>
      </c>
      <c r="H3" s="15" t="s">
        <v>15</v>
      </c>
      <c r="I3" s="12">
        <v>7499.0</v>
      </c>
      <c r="J3" s="20" t="s">
        <v>3</v>
      </c>
      <c r="K3" s="22">
        <f t="shared" ref="K3:K18" si="1">IF(B3="", "", B3 * IF(J3="Q1", E3, IF(J3="Q2", G3, IF(J3="Q3", I3, MIN(E3, G3, I3)))))</f>
        <v>7847</v>
      </c>
      <c r="L3" s="2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8.5" customHeight="1">
      <c r="A4" s="10" t="s">
        <v>22</v>
      </c>
      <c r="B4" s="10">
        <v>2.0</v>
      </c>
      <c r="C4" s="10" t="b">
        <v>1</v>
      </c>
      <c r="D4" s="15" t="s">
        <v>23</v>
      </c>
      <c r="E4" s="12">
        <v>256.0</v>
      </c>
      <c r="F4" s="15" t="s">
        <v>27</v>
      </c>
      <c r="G4" s="12">
        <v>125.0</v>
      </c>
      <c r="H4" s="15" t="s">
        <v>19</v>
      </c>
      <c r="I4" s="12">
        <v>102.0</v>
      </c>
      <c r="J4" s="20" t="s">
        <v>3</v>
      </c>
      <c r="K4" s="22">
        <f t="shared" si="1"/>
        <v>512</v>
      </c>
      <c r="L4" s="2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8.5" customHeight="1">
      <c r="A5" s="10" t="s">
        <v>33</v>
      </c>
      <c r="B5" s="10">
        <v>4.0</v>
      </c>
      <c r="C5" s="10" t="b">
        <v>1</v>
      </c>
      <c r="D5" s="15" t="s">
        <v>23</v>
      </c>
      <c r="E5" s="12">
        <v>625.0</v>
      </c>
      <c r="F5" s="15" t="s">
        <v>23</v>
      </c>
      <c r="G5" s="12">
        <v>835.0</v>
      </c>
      <c r="H5" s="15" t="s">
        <v>15</v>
      </c>
      <c r="I5" s="12">
        <v>549.0</v>
      </c>
      <c r="J5" s="20" t="s">
        <v>3</v>
      </c>
      <c r="K5" s="22">
        <f t="shared" si="1"/>
        <v>2500</v>
      </c>
      <c r="L5" s="2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8.5" customHeight="1">
      <c r="A6" s="10" t="s">
        <v>41</v>
      </c>
      <c r="B6" s="10">
        <v>1.0</v>
      </c>
      <c r="C6" s="10" t="b">
        <v>1</v>
      </c>
      <c r="D6" s="15" t="s">
        <v>23</v>
      </c>
      <c r="E6" s="12">
        <v>1749.0</v>
      </c>
      <c r="F6" s="15" t="s">
        <v>21</v>
      </c>
      <c r="G6" s="12">
        <v>2865.0</v>
      </c>
      <c r="H6" s="21"/>
      <c r="I6" s="12"/>
      <c r="J6" s="20" t="s">
        <v>3</v>
      </c>
      <c r="K6" s="22">
        <f t="shared" si="1"/>
        <v>1749</v>
      </c>
      <c r="L6" s="2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8.5" customHeight="1">
      <c r="A7" s="10" t="s">
        <v>44</v>
      </c>
      <c r="B7" s="10">
        <v>1.0</v>
      </c>
      <c r="C7" s="10" t="b">
        <v>1</v>
      </c>
      <c r="D7" s="15" t="s">
        <v>21</v>
      </c>
      <c r="E7" s="12">
        <v>19618.0</v>
      </c>
      <c r="F7" s="21"/>
      <c r="G7" s="12"/>
      <c r="H7" s="21"/>
      <c r="I7" s="12"/>
      <c r="J7" s="20" t="s">
        <v>3</v>
      </c>
      <c r="K7" s="22">
        <f t="shared" si="1"/>
        <v>19618</v>
      </c>
      <c r="L7" s="2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8.5" customHeight="1">
      <c r="A8" s="10" t="s">
        <v>47</v>
      </c>
      <c r="B8" s="10">
        <v>2.0</v>
      </c>
      <c r="C8" s="18" t="b">
        <v>0</v>
      </c>
      <c r="D8" s="15" t="s">
        <v>19</v>
      </c>
      <c r="E8" s="25">
        <v>1161.0</v>
      </c>
      <c r="F8" s="26" t="s">
        <v>48</v>
      </c>
      <c r="G8" s="12">
        <v>1849.0</v>
      </c>
      <c r="H8" s="15" t="s">
        <v>51</v>
      </c>
      <c r="I8" s="12">
        <v>1849.0</v>
      </c>
      <c r="J8" s="20" t="s">
        <v>4</v>
      </c>
      <c r="K8" s="22">
        <f t="shared" si="1"/>
        <v>3698</v>
      </c>
      <c r="L8" s="27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8.5" customHeight="1">
      <c r="A9" s="10" t="s">
        <v>55</v>
      </c>
      <c r="B9" s="10">
        <v>4.0</v>
      </c>
      <c r="C9" s="18"/>
      <c r="D9" s="15" t="s">
        <v>57</v>
      </c>
      <c r="E9" s="12">
        <v>185.0</v>
      </c>
      <c r="F9" s="15" t="s">
        <v>27</v>
      </c>
      <c r="G9" s="25">
        <v>157.0</v>
      </c>
      <c r="H9" s="21"/>
      <c r="I9" s="12"/>
      <c r="J9" s="20" t="s">
        <v>3</v>
      </c>
      <c r="K9" s="22">
        <f t="shared" si="1"/>
        <v>740</v>
      </c>
      <c r="L9" s="27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8.5" customHeight="1">
      <c r="A10" s="10" t="s">
        <v>58</v>
      </c>
      <c r="B10" s="10">
        <v>4.0</v>
      </c>
      <c r="C10" s="10" t="b">
        <v>1</v>
      </c>
      <c r="D10" s="26" t="s">
        <v>29</v>
      </c>
      <c r="E10" s="25">
        <v>21.0</v>
      </c>
      <c r="F10" s="15" t="s">
        <v>27</v>
      </c>
      <c r="G10" s="12">
        <v>39.0</v>
      </c>
      <c r="H10" s="15" t="s">
        <v>21</v>
      </c>
      <c r="I10" s="12">
        <v>62.0</v>
      </c>
      <c r="J10" s="20" t="s">
        <v>3</v>
      </c>
      <c r="K10" s="22">
        <f t="shared" si="1"/>
        <v>84</v>
      </c>
      <c r="L10" s="2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8.5" customHeight="1">
      <c r="A11" s="10" t="s">
        <v>60</v>
      </c>
      <c r="B11" s="10">
        <v>2.0</v>
      </c>
      <c r="C11" s="10" t="b">
        <v>1</v>
      </c>
      <c r="D11" s="15" t="s">
        <v>61</v>
      </c>
      <c r="E11" s="12">
        <v>626.0</v>
      </c>
      <c r="F11" s="21"/>
      <c r="G11" s="12"/>
      <c r="H11" s="21"/>
      <c r="I11" s="12"/>
      <c r="J11" s="20" t="s">
        <v>3</v>
      </c>
      <c r="K11" s="22">
        <f t="shared" si="1"/>
        <v>1252</v>
      </c>
      <c r="L11" s="2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8.5" customHeight="1">
      <c r="A12" s="10" t="s">
        <v>62</v>
      </c>
      <c r="B12" s="10">
        <v>2.0</v>
      </c>
      <c r="C12" s="10" t="b">
        <v>1</v>
      </c>
      <c r="D12" s="15" t="s">
        <v>57</v>
      </c>
      <c r="E12" s="12">
        <v>23.0</v>
      </c>
      <c r="F12" s="15" t="s">
        <v>63</v>
      </c>
      <c r="G12" s="12">
        <v>18.0</v>
      </c>
      <c r="H12" s="21"/>
      <c r="I12" s="12"/>
      <c r="J12" s="20" t="s">
        <v>3</v>
      </c>
      <c r="K12" s="22">
        <f t="shared" si="1"/>
        <v>46</v>
      </c>
      <c r="L12" s="2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8.5" customHeight="1">
      <c r="A13" s="10" t="s">
        <v>65</v>
      </c>
      <c r="B13" s="10">
        <v>2.0</v>
      </c>
      <c r="C13" s="10" t="b">
        <v>1</v>
      </c>
      <c r="D13" s="15" t="s">
        <v>21</v>
      </c>
      <c r="E13" s="12">
        <v>1000.0</v>
      </c>
      <c r="F13" s="21"/>
      <c r="G13" s="12"/>
      <c r="H13" s="21"/>
      <c r="I13" s="12"/>
      <c r="J13" s="20" t="s">
        <v>3</v>
      </c>
      <c r="K13" s="22">
        <f t="shared" si="1"/>
        <v>2000</v>
      </c>
      <c r="L13" s="2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8.5" customHeight="1">
      <c r="A14" s="10" t="s">
        <v>67</v>
      </c>
      <c r="B14" s="10">
        <v>1.0</v>
      </c>
      <c r="C14" s="10" t="b">
        <v>1</v>
      </c>
      <c r="D14" s="15" t="s">
        <v>21</v>
      </c>
      <c r="E14" s="12">
        <v>161.0</v>
      </c>
      <c r="F14" s="15" t="s">
        <v>68</v>
      </c>
      <c r="G14" s="12">
        <v>319.0</v>
      </c>
      <c r="H14" s="15" t="s">
        <v>70</v>
      </c>
      <c r="I14" s="25">
        <v>139.0</v>
      </c>
      <c r="J14" s="20" t="s">
        <v>3</v>
      </c>
      <c r="K14" s="22">
        <f t="shared" si="1"/>
        <v>161</v>
      </c>
      <c r="L14" s="2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8.5" customHeight="1">
      <c r="A15" s="10" t="s">
        <v>71</v>
      </c>
      <c r="B15" s="10">
        <v>50.0</v>
      </c>
      <c r="C15" s="10" t="b">
        <v>1</v>
      </c>
      <c r="D15" s="26" t="s">
        <v>63</v>
      </c>
      <c r="E15" s="25">
        <v>4.6</v>
      </c>
      <c r="F15" s="11"/>
      <c r="G15" s="12"/>
      <c r="H15" s="21"/>
      <c r="I15" s="12"/>
      <c r="J15" s="20" t="s">
        <v>3</v>
      </c>
      <c r="K15" s="22">
        <f t="shared" si="1"/>
        <v>230</v>
      </c>
      <c r="L15" s="2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8.5" customHeight="1">
      <c r="A16" s="10" t="s">
        <v>45</v>
      </c>
      <c r="B16" s="10">
        <v>1.0</v>
      </c>
      <c r="C16" s="10" t="b">
        <v>1</v>
      </c>
      <c r="D16" s="34" t="s">
        <v>21</v>
      </c>
      <c r="E16" s="25">
        <v>29.0</v>
      </c>
      <c r="F16" s="26" t="s">
        <v>29</v>
      </c>
      <c r="G16" s="12">
        <v>27.0</v>
      </c>
      <c r="H16" s="26" t="s">
        <v>19</v>
      </c>
      <c r="I16" s="12">
        <v>45.0</v>
      </c>
      <c r="J16" s="20" t="s">
        <v>4</v>
      </c>
      <c r="K16" s="22">
        <f t="shared" si="1"/>
        <v>27</v>
      </c>
      <c r="L16" s="2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8.5" customHeight="1">
      <c r="A17" s="10" t="s">
        <v>75</v>
      </c>
      <c r="B17" s="10">
        <v>1.0</v>
      </c>
      <c r="C17" s="10" t="b">
        <v>1</v>
      </c>
      <c r="D17" s="15" t="s">
        <v>26</v>
      </c>
      <c r="E17" s="25">
        <v>425.0</v>
      </c>
      <c r="F17" s="15" t="s">
        <v>21</v>
      </c>
      <c r="G17" s="12">
        <v>492.0</v>
      </c>
      <c r="H17" s="15" t="s">
        <v>29</v>
      </c>
      <c r="I17" s="12">
        <v>445.0</v>
      </c>
      <c r="J17" s="20" t="s">
        <v>3</v>
      </c>
      <c r="K17" s="22">
        <f t="shared" si="1"/>
        <v>425</v>
      </c>
      <c r="L17" s="2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8.5" customHeight="1">
      <c r="A18" s="10" t="s">
        <v>18</v>
      </c>
      <c r="B18" s="10">
        <v>1.0</v>
      </c>
      <c r="C18" s="10" t="b">
        <v>1</v>
      </c>
      <c r="D18" s="26" t="s">
        <v>19</v>
      </c>
      <c r="E18" s="25">
        <v>1865.0</v>
      </c>
      <c r="F18" s="11"/>
      <c r="G18" s="12"/>
      <c r="H18" s="21"/>
      <c r="I18" s="12"/>
      <c r="J18" s="20" t="s">
        <v>3</v>
      </c>
      <c r="K18" s="22">
        <f t="shared" si="1"/>
        <v>1865</v>
      </c>
      <c r="L18" s="2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7.0" customHeight="1">
      <c r="A19" s="28" t="s">
        <v>54</v>
      </c>
      <c r="B19" s="3"/>
      <c r="C19" s="3"/>
      <c r="D19" s="3"/>
      <c r="E19" s="3"/>
      <c r="F19" s="29"/>
      <c r="G19" s="3"/>
      <c r="H19" s="29"/>
      <c r="I19" s="3"/>
      <c r="J19" s="37"/>
      <c r="K19" s="38">
        <f>SUM(K3:K18)</f>
        <v>42754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39"/>
      <c r="F20" s="5"/>
      <c r="G20" s="39"/>
      <c r="H20" s="5"/>
      <c r="I20" s="3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0" t="s">
        <v>90</v>
      </c>
      <c r="B21" s="5"/>
      <c r="C21" s="5"/>
      <c r="D21" s="5"/>
      <c r="E21" s="41"/>
      <c r="F21" s="42"/>
      <c r="G21" s="41"/>
      <c r="H21" s="5"/>
      <c r="I21" s="3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3" t="s">
        <v>21</v>
      </c>
      <c r="B22" s="5"/>
      <c r="C22" s="5"/>
      <c r="D22" s="5"/>
      <c r="E22" s="39"/>
      <c r="F22" s="42"/>
      <c r="G22" s="41"/>
      <c r="H22" s="5"/>
      <c r="I22" s="3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43" t="s">
        <v>29</v>
      </c>
      <c r="B23" s="5"/>
      <c r="C23" s="5"/>
      <c r="D23" s="5"/>
      <c r="E23" s="39"/>
      <c r="F23" s="42"/>
      <c r="G23" s="41"/>
      <c r="H23" s="5"/>
      <c r="I23" s="3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43" t="s">
        <v>19</v>
      </c>
      <c r="B24" s="5"/>
      <c r="C24" s="5"/>
      <c r="D24" s="5"/>
      <c r="E24" s="39"/>
      <c r="F24" s="5"/>
      <c r="G24" s="39"/>
      <c r="H24" s="5"/>
      <c r="I24" s="3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43" t="s">
        <v>23</v>
      </c>
      <c r="B25" s="5"/>
      <c r="C25" s="5"/>
      <c r="D25" s="5"/>
      <c r="E25" s="39"/>
      <c r="F25" s="5"/>
      <c r="G25" s="39"/>
      <c r="H25" s="5"/>
      <c r="I25" s="3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43" t="s">
        <v>26</v>
      </c>
      <c r="B26" s="5"/>
      <c r="C26" s="5"/>
      <c r="D26" s="5"/>
      <c r="E26" s="39"/>
      <c r="F26" s="5"/>
      <c r="G26" s="39"/>
      <c r="H26" s="5"/>
      <c r="I26" s="3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43" t="s">
        <v>27</v>
      </c>
      <c r="B27" s="5"/>
      <c r="C27" s="5"/>
      <c r="D27" s="5"/>
      <c r="E27" s="39"/>
      <c r="F27" s="5"/>
      <c r="G27" s="39"/>
      <c r="H27" s="5"/>
      <c r="I27" s="3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43" t="s">
        <v>94</v>
      </c>
      <c r="B28" s="5"/>
      <c r="C28" s="5"/>
      <c r="D28" s="5"/>
      <c r="E28" s="39"/>
      <c r="F28" s="5"/>
      <c r="G28" s="39"/>
      <c r="H28" s="5"/>
      <c r="I28" s="3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43" t="s">
        <v>95</v>
      </c>
      <c r="B29" s="5"/>
      <c r="C29" s="5"/>
      <c r="D29" s="5"/>
      <c r="E29" s="39"/>
      <c r="F29" s="5"/>
      <c r="G29" s="39"/>
      <c r="H29" s="5"/>
      <c r="I29" s="3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43" t="s">
        <v>96</v>
      </c>
      <c r="B30" s="5"/>
      <c r="C30" s="5"/>
      <c r="D30" s="5"/>
      <c r="E30" s="39"/>
      <c r="F30" s="5"/>
      <c r="G30" s="39"/>
      <c r="H30" s="5"/>
      <c r="I30" s="3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43" t="s">
        <v>97</v>
      </c>
      <c r="B31" s="5"/>
      <c r="C31" s="5"/>
      <c r="D31" s="5"/>
      <c r="E31" s="39"/>
      <c r="F31" s="5"/>
      <c r="G31" s="39"/>
      <c r="H31" s="5"/>
      <c r="I31" s="3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43" t="s">
        <v>98</v>
      </c>
      <c r="B32" s="5"/>
      <c r="C32" s="5"/>
      <c r="D32" s="5"/>
      <c r="E32" s="39"/>
      <c r="F32" s="5"/>
      <c r="G32" s="39"/>
      <c r="H32" s="5"/>
      <c r="I32" s="3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43" t="s">
        <v>99</v>
      </c>
      <c r="B33" s="5"/>
      <c r="C33" s="5"/>
      <c r="D33" s="5"/>
      <c r="E33" s="39"/>
      <c r="F33" s="5"/>
      <c r="G33" s="39"/>
      <c r="H33" s="5"/>
      <c r="I33" s="3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43" t="s">
        <v>63</v>
      </c>
      <c r="B34" s="5"/>
      <c r="C34" s="5"/>
      <c r="D34" s="5"/>
      <c r="E34" s="39"/>
      <c r="F34" s="5"/>
      <c r="G34" s="39"/>
      <c r="H34" s="5"/>
      <c r="I34" s="3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43" t="s">
        <v>100</v>
      </c>
      <c r="B35" s="5"/>
      <c r="C35" s="5"/>
      <c r="D35" s="5"/>
      <c r="E35" s="39"/>
      <c r="F35" s="5"/>
      <c r="G35" s="39"/>
      <c r="H35" s="5"/>
      <c r="I35" s="39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43" t="s">
        <v>51</v>
      </c>
      <c r="B36" s="5"/>
      <c r="C36" s="5"/>
      <c r="D36" s="5"/>
      <c r="E36" s="39"/>
      <c r="F36" s="5"/>
      <c r="G36" s="39"/>
      <c r="H36" s="5"/>
      <c r="I36" s="3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44" t="s">
        <v>101</v>
      </c>
      <c r="B37" s="5"/>
      <c r="C37" s="5"/>
      <c r="D37" s="5"/>
      <c r="E37" s="39"/>
      <c r="F37" s="5"/>
      <c r="G37" s="39"/>
      <c r="H37" s="5"/>
      <c r="I37" s="3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39"/>
      <c r="F38" s="5"/>
      <c r="G38" s="39"/>
      <c r="H38" s="5"/>
      <c r="I38" s="3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45" t="s">
        <v>102</v>
      </c>
      <c r="B39" s="5"/>
      <c r="C39" s="5"/>
      <c r="D39" s="5"/>
      <c r="E39" s="39"/>
      <c r="F39" s="5"/>
      <c r="G39" s="39"/>
      <c r="H39" s="5"/>
      <c r="I39" s="39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6" t="s">
        <v>103</v>
      </c>
      <c r="B40" s="46"/>
      <c r="C40" s="46"/>
      <c r="D40" s="46"/>
      <c r="E40" s="39"/>
      <c r="F40" s="5"/>
      <c r="G40" s="39"/>
      <c r="H40" s="5"/>
      <c r="I40" s="3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6"/>
      <c r="B41" s="46"/>
      <c r="C41" s="46"/>
      <c r="D41" s="46"/>
      <c r="E41" s="39"/>
      <c r="F41" s="5"/>
      <c r="G41" s="39"/>
      <c r="H41" s="5"/>
      <c r="I41" s="39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6" t="s">
        <v>104</v>
      </c>
      <c r="B42" s="46"/>
      <c r="C42" s="46"/>
      <c r="D42" s="46"/>
      <c r="E42" s="39"/>
      <c r="F42" s="5"/>
      <c r="G42" s="39"/>
      <c r="H42" s="5"/>
      <c r="I42" s="3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46"/>
      <c r="B43" s="46"/>
      <c r="C43" s="46"/>
      <c r="D43" s="46"/>
      <c r="E43" s="39"/>
      <c r="F43" s="5"/>
      <c r="G43" s="39"/>
      <c r="H43" s="5"/>
      <c r="I43" s="3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46"/>
      <c r="B44" s="46"/>
      <c r="C44" s="46"/>
      <c r="D44" s="46"/>
      <c r="E44" s="39"/>
      <c r="F44" s="5"/>
      <c r="G44" s="39"/>
      <c r="H44" s="5"/>
      <c r="I44" s="3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46" t="s">
        <v>105</v>
      </c>
      <c r="B45" s="46"/>
      <c r="C45" s="46"/>
      <c r="D45" s="46"/>
      <c r="E45" s="39"/>
      <c r="F45" s="5"/>
      <c r="G45" s="39"/>
      <c r="H45" s="5"/>
      <c r="I45" s="3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6" t="s">
        <v>106</v>
      </c>
      <c r="B46" s="46"/>
      <c r="C46" s="46"/>
      <c r="D46" s="46"/>
      <c r="E46" s="39"/>
      <c r="F46" s="5"/>
      <c r="G46" s="39"/>
      <c r="H46" s="5"/>
      <c r="I46" s="3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46" t="s">
        <v>107</v>
      </c>
      <c r="B47" s="46"/>
      <c r="C47" s="46"/>
      <c r="D47" s="46"/>
      <c r="E47" s="39"/>
      <c r="F47" s="5"/>
      <c r="G47" s="39"/>
      <c r="H47" s="5"/>
      <c r="I47" s="3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39"/>
      <c r="F48" s="5"/>
      <c r="G48" s="39"/>
      <c r="H48" s="5"/>
      <c r="I48" s="3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39"/>
      <c r="F49" s="5"/>
      <c r="G49" s="39"/>
      <c r="H49" s="5"/>
      <c r="I49" s="3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39"/>
      <c r="F50" s="5"/>
      <c r="G50" s="39"/>
      <c r="H50" s="5"/>
      <c r="I50" s="3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39"/>
      <c r="F51" s="5"/>
      <c r="G51" s="39"/>
      <c r="H51" s="5"/>
      <c r="I51" s="3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39"/>
      <c r="F52" s="5"/>
      <c r="G52" s="39"/>
      <c r="H52" s="5"/>
      <c r="I52" s="3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39"/>
      <c r="F53" s="5"/>
      <c r="G53" s="39"/>
      <c r="H53" s="5"/>
      <c r="I53" s="3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39"/>
      <c r="F54" s="5"/>
      <c r="G54" s="39"/>
      <c r="H54" s="5"/>
      <c r="I54" s="3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39"/>
      <c r="F55" s="5"/>
      <c r="G55" s="39"/>
      <c r="H55" s="5"/>
      <c r="I55" s="39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39"/>
      <c r="F56" s="5"/>
      <c r="G56" s="39"/>
      <c r="H56" s="5"/>
      <c r="I56" s="3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39"/>
      <c r="F57" s="5"/>
      <c r="G57" s="39"/>
      <c r="H57" s="5"/>
      <c r="I57" s="3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39"/>
      <c r="F58" s="5"/>
      <c r="G58" s="39"/>
      <c r="H58" s="5"/>
      <c r="I58" s="3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39"/>
      <c r="F59" s="5"/>
      <c r="G59" s="39"/>
      <c r="H59" s="5"/>
      <c r="I59" s="3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39"/>
      <c r="F60" s="5"/>
      <c r="G60" s="39"/>
      <c r="H60" s="5"/>
      <c r="I60" s="3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39"/>
      <c r="F61" s="5"/>
      <c r="G61" s="39"/>
      <c r="H61" s="5"/>
      <c r="I61" s="3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39"/>
      <c r="F62" s="5"/>
      <c r="G62" s="39"/>
      <c r="H62" s="5"/>
      <c r="I62" s="3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39"/>
      <c r="F63" s="5"/>
      <c r="G63" s="39"/>
      <c r="H63" s="5"/>
      <c r="I63" s="3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39"/>
      <c r="F64" s="5"/>
      <c r="G64" s="39"/>
      <c r="H64" s="5"/>
      <c r="I64" s="39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39"/>
      <c r="F65" s="5"/>
      <c r="G65" s="39"/>
      <c r="H65" s="5"/>
      <c r="I65" s="3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39"/>
      <c r="F66" s="5"/>
      <c r="G66" s="39"/>
      <c r="H66" s="5"/>
      <c r="I66" s="3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39"/>
      <c r="F67" s="5"/>
      <c r="G67" s="39"/>
      <c r="H67" s="5"/>
      <c r="I67" s="3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39"/>
      <c r="F68" s="5"/>
      <c r="G68" s="39"/>
      <c r="H68" s="5"/>
      <c r="I68" s="39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39"/>
      <c r="F69" s="5"/>
      <c r="G69" s="39"/>
      <c r="H69" s="5"/>
      <c r="I69" s="39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39"/>
      <c r="F70" s="5"/>
      <c r="G70" s="39"/>
      <c r="H70" s="5"/>
      <c r="I70" s="3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39"/>
      <c r="F71" s="5"/>
      <c r="G71" s="39"/>
      <c r="H71" s="5"/>
      <c r="I71" s="3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39"/>
      <c r="F72" s="5"/>
      <c r="G72" s="39"/>
      <c r="H72" s="5"/>
      <c r="I72" s="39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39"/>
      <c r="F73" s="5"/>
      <c r="G73" s="39"/>
      <c r="H73" s="5"/>
      <c r="I73" s="39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39"/>
      <c r="F74" s="5"/>
      <c r="G74" s="39"/>
      <c r="H74" s="5"/>
      <c r="I74" s="39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39"/>
      <c r="F75" s="5"/>
      <c r="G75" s="39"/>
      <c r="H75" s="5"/>
      <c r="I75" s="3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39"/>
      <c r="F76" s="5"/>
      <c r="G76" s="39"/>
      <c r="H76" s="5"/>
      <c r="I76" s="3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39"/>
      <c r="F77" s="5"/>
      <c r="G77" s="39"/>
      <c r="H77" s="5"/>
      <c r="I77" s="3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39"/>
      <c r="F78" s="5"/>
      <c r="G78" s="39"/>
      <c r="H78" s="5"/>
      <c r="I78" s="3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39"/>
      <c r="F79" s="5"/>
      <c r="G79" s="39"/>
      <c r="H79" s="5"/>
      <c r="I79" s="3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39"/>
      <c r="F80" s="5"/>
      <c r="G80" s="39"/>
      <c r="H80" s="5"/>
      <c r="I80" s="3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39"/>
      <c r="F81" s="5"/>
      <c r="G81" s="39"/>
      <c r="H81" s="5"/>
      <c r="I81" s="3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39"/>
      <c r="F82" s="5"/>
      <c r="G82" s="39"/>
      <c r="H82" s="5"/>
      <c r="I82" s="39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39"/>
      <c r="F83" s="5"/>
      <c r="G83" s="39"/>
      <c r="H83" s="5"/>
      <c r="I83" s="3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39"/>
      <c r="F84" s="5"/>
      <c r="G84" s="39"/>
      <c r="H84" s="5"/>
      <c r="I84" s="39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39"/>
      <c r="F85" s="5"/>
      <c r="G85" s="39"/>
      <c r="H85" s="5"/>
      <c r="I85" s="39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39"/>
      <c r="F86" s="5"/>
      <c r="G86" s="39"/>
      <c r="H86" s="5"/>
      <c r="I86" s="39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39"/>
      <c r="F87" s="5"/>
      <c r="G87" s="39"/>
      <c r="H87" s="5"/>
      <c r="I87" s="39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39"/>
      <c r="F88" s="5"/>
      <c r="G88" s="39"/>
      <c r="H88" s="5"/>
      <c r="I88" s="39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39"/>
      <c r="F89" s="5"/>
      <c r="G89" s="39"/>
      <c r="H89" s="5"/>
      <c r="I89" s="3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39"/>
      <c r="F90" s="5"/>
      <c r="G90" s="39"/>
      <c r="H90" s="5"/>
      <c r="I90" s="39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39"/>
      <c r="F91" s="5"/>
      <c r="G91" s="39"/>
      <c r="H91" s="5"/>
      <c r="I91" s="39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39"/>
      <c r="F92" s="5"/>
      <c r="G92" s="39"/>
      <c r="H92" s="5"/>
      <c r="I92" s="3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39"/>
      <c r="F93" s="5"/>
      <c r="G93" s="39"/>
      <c r="H93" s="5"/>
      <c r="I93" s="39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39"/>
      <c r="F94" s="5"/>
      <c r="G94" s="39"/>
      <c r="H94" s="5"/>
      <c r="I94" s="39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39"/>
      <c r="F95" s="5"/>
      <c r="G95" s="39"/>
      <c r="H95" s="5"/>
      <c r="I95" s="39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39"/>
      <c r="F96" s="5"/>
      <c r="G96" s="39"/>
      <c r="H96" s="5"/>
      <c r="I96" s="39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39"/>
      <c r="F97" s="5"/>
      <c r="G97" s="39"/>
      <c r="H97" s="5"/>
      <c r="I97" s="39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39"/>
      <c r="F98" s="5"/>
      <c r="G98" s="39"/>
      <c r="H98" s="5"/>
      <c r="I98" s="39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39"/>
      <c r="F99" s="5"/>
      <c r="G99" s="39"/>
      <c r="H99" s="5"/>
      <c r="I99" s="39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39"/>
      <c r="F100" s="5"/>
      <c r="G100" s="39"/>
      <c r="H100" s="5"/>
      <c r="I100" s="39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39"/>
      <c r="F101" s="5"/>
      <c r="G101" s="39"/>
      <c r="H101" s="5"/>
      <c r="I101" s="39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39"/>
      <c r="F102" s="5"/>
      <c r="G102" s="39"/>
      <c r="H102" s="5"/>
      <c r="I102" s="39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39"/>
      <c r="F103" s="5"/>
      <c r="G103" s="39"/>
      <c r="H103" s="5"/>
      <c r="I103" s="39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39"/>
      <c r="F104" s="5"/>
      <c r="G104" s="39"/>
      <c r="H104" s="5"/>
      <c r="I104" s="39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39"/>
      <c r="F105" s="5"/>
      <c r="G105" s="39"/>
      <c r="H105" s="5"/>
      <c r="I105" s="39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39"/>
      <c r="F106" s="5"/>
      <c r="G106" s="39"/>
      <c r="H106" s="5"/>
      <c r="I106" s="39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39"/>
      <c r="F107" s="5"/>
      <c r="G107" s="39"/>
      <c r="H107" s="5"/>
      <c r="I107" s="39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39"/>
      <c r="F108" s="5"/>
      <c r="G108" s="39"/>
      <c r="H108" s="5"/>
      <c r="I108" s="3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39"/>
      <c r="F109" s="5"/>
      <c r="G109" s="39"/>
      <c r="H109" s="5"/>
      <c r="I109" s="39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39"/>
      <c r="F110" s="5"/>
      <c r="G110" s="39"/>
      <c r="H110" s="5"/>
      <c r="I110" s="3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39"/>
      <c r="F111" s="5"/>
      <c r="G111" s="39"/>
      <c r="H111" s="5"/>
      <c r="I111" s="39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39"/>
      <c r="F112" s="5"/>
      <c r="G112" s="39"/>
      <c r="H112" s="5"/>
      <c r="I112" s="39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39"/>
      <c r="F113" s="5"/>
      <c r="G113" s="39"/>
      <c r="H113" s="5"/>
      <c r="I113" s="39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39"/>
      <c r="F114" s="5"/>
      <c r="G114" s="39"/>
      <c r="H114" s="5"/>
      <c r="I114" s="39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39"/>
      <c r="F115" s="5"/>
      <c r="G115" s="39"/>
      <c r="H115" s="5"/>
      <c r="I115" s="3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39"/>
      <c r="F116" s="5"/>
      <c r="G116" s="39"/>
      <c r="H116" s="5"/>
      <c r="I116" s="3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39"/>
      <c r="F117" s="5"/>
      <c r="G117" s="39"/>
      <c r="H117" s="5"/>
      <c r="I117" s="39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39"/>
      <c r="F118" s="5"/>
      <c r="G118" s="39"/>
      <c r="H118" s="5"/>
      <c r="I118" s="39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39"/>
      <c r="F119" s="5"/>
      <c r="G119" s="39"/>
      <c r="H119" s="5"/>
      <c r="I119" s="39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39"/>
      <c r="F120" s="5"/>
      <c r="G120" s="39"/>
      <c r="H120" s="5"/>
      <c r="I120" s="39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39"/>
      <c r="F121" s="5"/>
      <c r="G121" s="39"/>
      <c r="H121" s="5"/>
      <c r="I121" s="39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39"/>
      <c r="F122" s="5"/>
      <c r="G122" s="39"/>
      <c r="H122" s="5"/>
      <c r="I122" s="39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39"/>
      <c r="F123" s="5"/>
      <c r="G123" s="39"/>
      <c r="H123" s="5"/>
      <c r="I123" s="39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39"/>
      <c r="F124" s="5"/>
      <c r="G124" s="39"/>
      <c r="H124" s="5"/>
      <c r="I124" s="39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39"/>
      <c r="F125" s="5"/>
      <c r="G125" s="39"/>
      <c r="H125" s="5"/>
      <c r="I125" s="39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39"/>
      <c r="F126" s="5"/>
      <c r="G126" s="39"/>
      <c r="H126" s="5"/>
      <c r="I126" s="39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39"/>
      <c r="F127" s="5"/>
      <c r="G127" s="39"/>
      <c r="H127" s="5"/>
      <c r="I127" s="39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39"/>
      <c r="F128" s="5"/>
      <c r="G128" s="39"/>
      <c r="H128" s="5"/>
      <c r="I128" s="39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39"/>
      <c r="F129" s="5"/>
      <c r="G129" s="39"/>
      <c r="H129" s="5"/>
      <c r="I129" s="39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39"/>
      <c r="F130" s="5"/>
      <c r="G130" s="39"/>
      <c r="H130" s="5"/>
      <c r="I130" s="39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39"/>
      <c r="F131" s="5"/>
      <c r="G131" s="39"/>
      <c r="H131" s="5"/>
      <c r="I131" s="39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39"/>
      <c r="F132" s="5"/>
      <c r="G132" s="39"/>
      <c r="H132" s="5"/>
      <c r="I132" s="39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39"/>
      <c r="F133" s="5"/>
      <c r="G133" s="39"/>
      <c r="H133" s="5"/>
      <c r="I133" s="39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39"/>
      <c r="F134" s="5"/>
      <c r="G134" s="39"/>
      <c r="H134" s="5"/>
      <c r="I134" s="39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39"/>
      <c r="F135" s="5"/>
      <c r="G135" s="39"/>
      <c r="H135" s="5"/>
      <c r="I135" s="39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39"/>
      <c r="F136" s="5"/>
      <c r="G136" s="39"/>
      <c r="H136" s="5"/>
      <c r="I136" s="39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39"/>
      <c r="F137" s="5"/>
      <c r="G137" s="39"/>
      <c r="H137" s="5"/>
      <c r="I137" s="39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39"/>
      <c r="F138" s="5"/>
      <c r="G138" s="39"/>
      <c r="H138" s="5"/>
      <c r="I138" s="39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39"/>
      <c r="F139" s="5"/>
      <c r="G139" s="39"/>
      <c r="H139" s="5"/>
      <c r="I139" s="39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39"/>
      <c r="F140" s="5"/>
      <c r="G140" s="39"/>
      <c r="H140" s="5"/>
      <c r="I140" s="39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39"/>
      <c r="F141" s="5"/>
      <c r="G141" s="39"/>
      <c r="H141" s="5"/>
      <c r="I141" s="39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39"/>
      <c r="F142" s="5"/>
      <c r="G142" s="39"/>
      <c r="H142" s="5"/>
      <c r="I142" s="39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39"/>
      <c r="F143" s="5"/>
      <c r="G143" s="39"/>
      <c r="H143" s="5"/>
      <c r="I143" s="39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39"/>
      <c r="F144" s="5"/>
      <c r="G144" s="39"/>
      <c r="H144" s="5"/>
      <c r="I144" s="39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39"/>
      <c r="F145" s="5"/>
      <c r="G145" s="39"/>
      <c r="H145" s="5"/>
      <c r="I145" s="39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39"/>
      <c r="F146" s="5"/>
      <c r="G146" s="39"/>
      <c r="H146" s="5"/>
      <c r="I146" s="39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39"/>
      <c r="F147" s="5"/>
      <c r="G147" s="39"/>
      <c r="H147" s="5"/>
      <c r="I147" s="39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39"/>
      <c r="F148" s="5"/>
      <c r="G148" s="39"/>
      <c r="H148" s="5"/>
      <c r="I148" s="39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39"/>
      <c r="F149" s="5"/>
      <c r="G149" s="39"/>
      <c r="H149" s="5"/>
      <c r="I149" s="39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39"/>
      <c r="F150" s="5"/>
      <c r="G150" s="39"/>
      <c r="H150" s="5"/>
      <c r="I150" s="39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39"/>
      <c r="F151" s="5"/>
      <c r="G151" s="39"/>
      <c r="H151" s="5"/>
      <c r="I151" s="39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39"/>
      <c r="F152" s="5"/>
      <c r="G152" s="39"/>
      <c r="H152" s="5"/>
      <c r="I152" s="39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39"/>
      <c r="F153" s="5"/>
      <c r="G153" s="39"/>
      <c r="H153" s="5"/>
      <c r="I153" s="39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39"/>
      <c r="F154" s="5"/>
      <c r="G154" s="39"/>
      <c r="H154" s="5"/>
      <c r="I154" s="39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39"/>
      <c r="F155" s="5"/>
      <c r="G155" s="39"/>
      <c r="H155" s="5"/>
      <c r="I155" s="39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39"/>
      <c r="F156" s="5"/>
      <c r="G156" s="39"/>
      <c r="H156" s="5"/>
      <c r="I156" s="39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39"/>
      <c r="F157" s="5"/>
      <c r="G157" s="39"/>
      <c r="H157" s="5"/>
      <c r="I157" s="39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39"/>
      <c r="F158" s="5"/>
      <c r="G158" s="39"/>
      <c r="H158" s="5"/>
      <c r="I158" s="39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39"/>
      <c r="F159" s="5"/>
      <c r="G159" s="39"/>
      <c r="H159" s="5"/>
      <c r="I159" s="39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39"/>
      <c r="F160" s="5"/>
      <c r="G160" s="39"/>
      <c r="H160" s="5"/>
      <c r="I160" s="39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39"/>
      <c r="F161" s="5"/>
      <c r="G161" s="39"/>
      <c r="H161" s="5"/>
      <c r="I161" s="39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39"/>
      <c r="F162" s="5"/>
      <c r="G162" s="39"/>
      <c r="H162" s="5"/>
      <c r="I162" s="39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39"/>
      <c r="F163" s="5"/>
      <c r="G163" s="39"/>
      <c r="H163" s="5"/>
      <c r="I163" s="39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39"/>
      <c r="F164" s="5"/>
      <c r="G164" s="39"/>
      <c r="H164" s="5"/>
      <c r="I164" s="39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39"/>
      <c r="F165" s="5"/>
      <c r="G165" s="39"/>
      <c r="H165" s="5"/>
      <c r="I165" s="39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39"/>
      <c r="F166" s="5"/>
      <c r="G166" s="39"/>
      <c r="H166" s="5"/>
      <c r="I166" s="39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39"/>
      <c r="F167" s="5"/>
      <c r="G167" s="39"/>
      <c r="H167" s="5"/>
      <c r="I167" s="39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39"/>
      <c r="F168" s="5"/>
      <c r="G168" s="39"/>
      <c r="H168" s="5"/>
      <c r="I168" s="39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39"/>
      <c r="F169" s="5"/>
      <c r="G169" s="39"/>
      <c r="H169" s="5"/>
      <c r="I169" s="39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39"/>
      <c r="F170" s="5"/>
      <c r="G170" s="39"/>
      <c r="H170" s="5"/>
      <c r="I170" s="39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39"/>
      <c r="F171" s="5"/>
      <c r="G171" s="39"/>
      <c r="H171" s="5"/>
      <c r="I171" s="39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39"/>
      <c r="F172" s="5"/>
      <c r="G172" s="39"/>
      <c r="H172" s="5"/>
      <c r="I172" s="39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39"/>
      <c r="F173" s="5"/>
      <c r="G173" s="39"/>
      <c r="H173" s="5"/>
      <c r="I173" s="39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39"/>
      <c r="F174" s="5"/>
      <c r="G174" s="39"/>
      <c r="H174" s="5"/>
      <c r="I174" s="39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39"/>
      <c r="F175" s="5"/>
      <c r="G175" s="39"/>
      <c r="H175" s="5"/>
      <c r="I175" s="39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39"/>
      <c r="F176" s="5"/>
      <c r="G176" s="39"/>
      <c r="H176" s="5"/>
      <c r="I176" s="39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39"/>
      <c r="F177" s="5"/>
      <c r="G177" s="39"/>
      <c r="H177" s="5"/>
      <c r="I177" s="39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39"/>
      <c r="F178" s="5"/>
      <c r="G178" s="39"/>
      <c r="H178" s="5"/>
      <c r="I178" s="39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39"/>
      <c r="F179" s="5"/>
      <c r="G179" s="39"/>
      <c r="H179" s="5"/>
      <c r="I179" s="39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39"/>
      <c r="F180" s="5"/>
      <c r="G180" s="39"/>
      <c r="H180" s="5"/>
      <c r="I180" s="39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39"/>
      <c r="F181" s="5"/>
      <c r="G181" s="39"/>
      <c r="H181" s="5"/>
      <c r="I181" s="39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39"/>
      <c r="F182" s="5"/>
      <c r="G182" s="39"/>
      <c r="H182" s="5"/>
      <c r="I182" s="39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39"/>
      <c r="F183" s="5"/>
      <c r="G183" s="39"/>
      <c r="H183" s="5"/>
      <c r="I183" s="39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39"/>
      <c r="F184" s="5"/>
      <c r="G184" s="39"/>
      <c r="H184" s="5"/>
      <c r="I184" s="39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39"/>
      <c r="F185" s="5"/>
      <c r="G185" s="39"/>
      <c r="H185" s="5"/>
      <c r="I185" s="39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39"/>
      <c r="F186" s="5"/>
      <c r="G186" s="39"/>
      <c r="H186" s="5"/>
      <c r="I186" s="39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39"/>
      <c r="F187" s="5"/>
      <c r="G187" s="39"/>
      <c r="H187" s="5"/>
      <c r="I187" s="39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39"/>
      <c r="F188" s="5"/>
      <c r="G188" s="39"/>
      <c r="H188" s="5"/>
      <c r="I188" s="39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39"/>
      <c r="F189" s="5"/>
      <c r="G189" s="39"/>
      <c r="H189" s="5"/>
      <c r="I189" s="39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39"/>
      <c r="F190" s="5"/>
      <c r="G190" s="39"/>
      <c r="H190" s="5"/>
      <c r="I190" s="39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39"/>
      <c r="F191" s="5"/>
      <c r="G191" s="39"/>
      <c r="H191" s="5"/>
      <c r="I191" s="39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39"/>
      <c r="F192" s="5"/>
      <c r="G192" s="39"/>
      <c r="H192" s="5"/>
      <c r="I192" s="39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39"/>
      <c r="F193" s="5"/>
      <c r="G193" s="39"/>
      <c r="H193" s="5"/>
      <c r="I193" s="39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39"/>
      <c r="F194" s="5"/>
      <c r="G194" s="39"/>
      <c r="H194" s="5"/>
      <c r="I194" s="39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39"/>
      <c r="F195" s="5"/>
      <c r="G195" s="39"/>
      <c r="H195" s="5"/>
      <c r="I195" s="39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39"/>
      <c r="F196" s="5"/>
      <c r="G196" s="39"/>
      <c r="H196" s="5"/>
      <c r="I196" s="39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39"/>
      <c r="F197" s="5"/>
      <c r="G197" s="39"/>
      <c r="H197" s="5"/>
      <c r="I197" s="39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39"/>
      <c r="F198" s="5"/>
      <c r="G198" s="39"/>
      <c r="H198" s="5"/>
      <c r="I198" s="39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39"/>
      <c r="F199" s="5"/>
      <c r="G199" s="39"/>
      <c r="H199" s="5"/>
      <c r="I199" s="39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39"/>
      <c r="F200" s="5"/>
      <c r="G200" s="39"/>
      <c r="H200" s="5"/>
      <c r="I200" s="39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39"/>
      <c r="F201" s="5"/>
      <c r="G201" s="39"/>
      <c r="H201" s="5"/>
      <c r="I201" s="39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39"/>
      <c r="F202" s="5"/>
      <c r="G202" s="39"/>
      <c r="H202" s="5"/>
      <c r="I202" s="39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39"/>
      <c r="F203" s="5"/>
      <c r="G203" s="39"/>
      <c r="H203" s="5"/>
      <c r="I203" s="39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39"/>
      <c r="F204" s="5"/>
      <c r="G204" s="39"/>
      <c r="H204" s="5"/>
      <c r="I204" s="39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39"/>
      <c r="F205" s="5"/>
      <c r="G205" s="39"/>
      <c r="H205" s="5"/>
      <c r="I205" s="39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39"/>
      <c r="F206" s="5"/>
      <c r="G206" s="39"/>
      <c r="H206" s="5"/>
      <c r="I206" s="39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39"/>
      <c r="F207" s="5"/>
      <c r="G207" s="39"/>
      <c r="H207" s="5"/>
      <c r="I207" s="39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39"/>
      <c r="F208" s="5"/>
      <c r="G208" s="39"/>
      <c r="H208" s="5"/>
      <c r="I208" s="39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39"/>
      <c r="F209" s="5"/>
      <c r="G209" s="39"/>
      <c r="H209" s="5"/>
      <c r="I209" s="39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39"/>
      <c r="F210" s="5"/>
      <c r="G210" s="39"/>
      <c r="H210" s="5"/>
      <c r="I210" s="39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39"/>
      <c r="F211" s="5"/>
      <c r="G211" s="39"/>
      <c r="H211" s="5"/>
      <c r="I211" s="39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39"/>
      <c r="F212" s="5"/>
      <c r="G212" s="39"/>
      <c r="H212" s="5"/>
      <c r="I212" s="39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39"/>
      <c r="F213" s="5"/>
      <c r="G213" s="39"/>
      <c r="H213" s="5"/>
      <c r="I213" s="39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39"/>
      <c r="F214" s="5"/>
      <c r="G214" s="39"/>
      <c r="H214" s="5"/>
      <c r="I214" s="39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39"/>
      <c r="F215" s="5"/>
      <c r="G215" s="39"/>
      <c r="H215" s="5"/>
      <c r="I215" s="39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39"/>
      <c r="F216" s="5"/>
      <c r="G216" s="39"/>
      <c r="H216" s="5"/>
      <c r="I216" s="39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39"/>
      <c r="F217" s="5"/>
      <c r="G217" s="39"/>
      <c r="H217" s="5"/>
      <c r="I217" s="39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39"/>
      <c r="F218" s="5"/>
      <c r="G218" s="39"/>
      <c r="H218" s="5"/>
      <c r="I218" s="39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39"/>
      <c r="F219" s="5"/>
      <c r="G219" s="39"/>
      <c r="H219" s="5"/>
      <c r="I219" s="39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39"/>
      <c r="F220" s="5"/>
      <c r="G220" s="39"/>
      <c r="H220" s="5"/>
      <c r="I220" s="39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39"/>
      <c r="F221" s="5"/>
      <c r="G221" s="39"/>
      <c r="H221" s="5"/>
      <c r="I221" s="39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39"/>
      <c r="F222" s="5"/>
      <c r="G222" s="39"/>
      <c r="H222" s="5"/>
      <c r="I222" s="39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39"/>
      <c r="F223" s="5"/>
      <c r="G223" s="39"/>
      <c r="H223" s="5"/>
      <c r="I223" s="39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39"/>
      <c r="F224" s="5"/>
      <c r="G224" s="39"/>
      <c r="H224" s="5"/>
      <c r="I224" s="39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39"/>
      <c r="F225" s="5"/>
      <c r="G225" s="39"/>
      <c r="H225" s="5"/>
      <c r="I225" s="39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39"/>
      <c r="F226" s="5"/>
      <c r="G226" s="39"/>
      <c r="H226" s="5"/>
      <c r="I226" s="39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39"/>
      <c r="F227" s="5"/>
      <c r="G227" s="39"/>
      <c r="H227" s="5"/>
      <c r="I227" s="39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39"/>
      <c r="F228" s="5"/>
      <c r="G228" s="39"/>
      <c r="H228" s="5"/>
      <c r="I228" s="39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39"/>
      <c r="F229" s="5"/>
      <c r="G229" s="39"/>
      <c r="H229" s="5"/>
      <c r="I229" s="39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39"/>
      <c r="F230" s="5"/>
      <c r="G230" s="39"/>
      <c r="H230" s="5"/>
      <c r="I230" s="39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39"/>
      <c r="F231" s="5"/>
      <c r="G231" s="39"/>
      <c r="H231" s="5"/>
      <c r="I231" s="39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39"/>
      <c r="F232" s="5"/>
      <c r="G232" s="39"/>
      <c r="H232" s="5"/>
      <c r="I232" s="39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39"/>
      <c r="F233" s="5"/>
      <c r="G233" s="39"/>
      <c r="H233" s="5"/>
      <c r="I233" s="39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39"/>
      <c r="F234" s="5"/>
      <c r="G234" s="39"/>
      <c r="H234" s="5"/>
      <c r="I234" s="39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39"/>
      <c r="F235" s="5"/>
      <c r="G235" s="39"/>
      <c r="H235" s="5"/>
      <c r="I235" s="39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39"/>
      <c r="F236" s="5"/>
      <c r="G236" s="39"/>
      <c r="H236" s="5"/>
      <c r="I236" s="39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39"/>
      <c r="F237" s="5"/>
      <c r="G237" s="39"/>
      <c r="H237" s="5"/>
      <c r="I237" s="39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39"/>
      <c r="F238" s="5"/>
      <c r="G238" s="39"/>
      <c r="H238" s="5"/>
      <c r="I238" s="39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39"/>
      <c r="F239" s="5"/>
      <c r="G239" s="39"/>
      <c r="H239" s="5"/>
      <c r="I239" s="39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39"/>
      <c r="F240" s="5"/>
      <c r="G240" s="39"/>
      <c r="H240" s="5"/>
      <c r="I240" s="39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39"/>
      <c r="F241" s="5"/>
      <c r="G241" s="39"/>
      <c r="H241" s="5"/>
      <c r="I241" s="39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39"/>
      <c r="F242" s="5"/>
      <c r="G242" s="39"/>
      <c r="H242" s="5"/>
      <c r="I242" s="39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39"/>
      <c r="F243" s="5"/>
      <c r="G243" s="39"/>
      <c r="H243" s="5"/>
      <c r="I243" s="39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39"/>
      <c r="F244" s="5"/>
      <c r="G244" s="39"/>
      <c r="H244" s="5"/>
      <c r="I244" s="39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39"/>
      <c r="F245" s="5"/>
      <c r="G245" s="39"/>
      <c r="H245" s="5"/>
      <c r="I245" s="39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39"/>
      <c r="F246" s="5"/>
      <c r="G246" s="39"/>
      <c r="H246" s="5"/>
      <c r="I246" s="39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39"/>
      <c r="F247" s="5"/>
      <c r="G247" s="39"/>
      <c r="H247" s="5"/>
      <c r="I247" s="39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39"/>
      <c r="F248" s="5"/>
      <c r="G248" s="39"/>
      <c r="H248" s="5"/>
      <c r="I248" s="39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39"/>
      <c r="F249" s="5"/>
      <c r="G249" s="39"/>
      <c r="H249" s="5"/>
      <c r="I249" s="39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39"/>
      <c r="F250" s="5"/>
      <c r="G250" s="39"/>
      <c r="H250" s="5"/>
      <c r="I250" s="39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39"/>
      <c r="F251" s="5"/>
      <c r="G251" s="39"/>
      <c r="H251" s="5"/>
      <c r="I251" s="39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39"/>
      <c r="F252" s="5"/>
      <c r="G252" s="39"/>
      <c r="H252" s="5"/>
      <c r="I252" s="39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39"/>
      <c r="F253" s="5"/>
      <c r="G253" s="39"/>
      <c r="H253" s="5"/>
      <c r="I253" s="39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39"/>
      <c r="F254" s="5"/>
      <c r="G254" s="39"/>
      <c r="H254" s="5"/>
      <c r="I254" s="39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39"/>
      <c r="F255" s="5"/>
      <c r="G255" s="39"/>
      <c r="H255" s="5"/>
      <c r="I255" s="39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39"/>
      <c r="F256" s="5"/>
      <c r="G256" s="39"/>
      <c r="H256" s="5"/>
      <c r="I256" s="39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39"/>
      <c r="F257" s="5"/>
      <c r="G257" s="39"/>
      <c r="H257" s="5"/>
      <c r="I257" s="39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39"/>
      <c r="F258" s="5"/>
      <c r="G258" s="39"/>
      <c r="H258" s="5"/>
      <c r="I258" s="39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39"/>
      <c r="F259" s="5"/>
      <c r="G259" s="39"/>
      <c r="H259" s="5"/>
      <c r="I259" s="39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39"/>
      <c r="F260" s="5"/>
      <c r="G260" s="39"/>
      <c r="H260" s="5"/>
      <c r="I260" s="39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39"/>
      <c r="F261" s="5"/>
      <c r="G261" s="39"/>
      <c r="H261" s="5"/>
      <c r="I261" s="39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39"/>
      <c r="F262" s="5"/>
      <c r="G262" s="39"/>
      <c r="H262" s="5"/>
      <c r="I262" s="39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39"/>
      <c r="F263" s="5"/>
      <c r="G263" s="39"/>
      <c r="H263" s="5"/>
      <c r="I263" s="39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39"/>
      <c r="F264" s="5"/>
      <c r="G264" s="39"/>
      <c r="H264" s="5"/>
      <c r="I264" s="39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39"/>
      <c r="F265" s="5"/>
      <c r="G265" s="39"/>
      <c r="H265" s="5"/>
      <c r="I265" s="39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39"/>
      <c r="F266" s="5"/>
      <c r="G266" s="39"/>
      <c r="H266" s="5"/>
      <c r="I266" s="39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39"/>
      <c r="F267" s="5"/>
      <c r="G267" s="39"/>
      <c r="H267" s="5"/>
      <c r="I267" s="39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39"/>
      <c r="F268" s="5"/>
      <c r="G268" s="39"/>
      <c r="H268" s="5"/>
      <c r="I268" s="39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39"/>
      <c r="F269" s="5"/>
      <c r="G269" s="39"/>
      <c r="H269" s="5"/>
      <c r="I269" s="39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39"/>
      <c r="F270" s="5"/>
      <c r="G270" s="39"/>
      <c r="H270" s="5"/>
      <c r="I270" s="39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39"/>
      <c r="F271" s="5"/>
      <c r="G271" s="39"/>
      <c r="H271" s="5"/>
      <c r="I271" s="39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39"/>
      <c r="F272" s="5"/>
      <c r="G272" s="39"/>
      <c r="H272" s="5"/>
      <c r="I272" s="39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39"/>
      <c r="F273" s="5"/>
      <c r="G273" s="39"/>
      <c r="H273" s="5"/>
      <c r="I273" s="39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39"/>
      <c r="F274" s="5"/>
      <c r="G274" s="39"/>
      <c r="H274" s="5"/>
      <c r="I274" s="39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39"/>
      <c r="F275" s="5"/>
      <c r="G275" s="39"/>
      <c r="H275" s="5"/>
      <c r="I275" s="39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39"/>
      <c r="F276" s="5"/>
      <c r="G276" s="39"/>
      <c r="H276" s="5"/>
      <c r="I276" s="39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39"/>
      <c r="F277" s="5"/>
      <c r="G277" s="39"/>
      <c r="H277" s="5"/>
      <c r="I277" s="39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39"/>
      <c r="F278" s="5"/>
      <c r="G278" s="39"/>
      <c r="H278" s="5"/>
      <c r="I278" s="39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39"/>
      <c r="F279" s="5"/>
      <c r="G279" s="39"/>
      <c r="H279" s="5"/>
      <c r="I279" s="39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39"/>
      <c r="F280" s="5"/>
      <c r="G280" s="39"/>
      <c r="H280" s="5"/>
      <c r="I280" s="39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39"/>
      <c r="F281" s="5"/>
      <c r="G281" s="39"/>
      <c r="H281" s="5"/>
      <c r="I281" s="39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39"/>
      <c r="F282" s="5"/>
      <c r="G282" s="39"/>
      <c r="H282" s="5"/>
      <c r="I282" s="39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39"/>
      <c r="F283" s="5"/>
      <c r="G283" s="39"/>
      <c r="H283" s="5"/>
      <c r="I283" s="39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39"/>
      <c r="F284" s="5"/>
      <c r="G284" s="39"/>
      <c r="H284" s="5"/>
      <c r="I284" s="39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39"/>
      <c r="F285" s="5"/>
      <c r="G285" s="39"/>
      <c r="H285" s="5"/>
      <c r="I285" s="39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39"/>
      <c r="F286" s="5"/>
      <c r="G286" s="39"/>
      <c r="H286" s="5"/>
      <c r="I286" s="39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39"/>
      <c r="F287" s="5"/>
      <c r="G287" s="39"/>
      <c r="H287" s="5"/>
      <c r="I287" s="39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39"/>
      <c r="F288" s="5"/>
      <c r="G288" s="39"/>
      <c r="H288" s="5"/>
      <c r="I288" s="39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39"/>
      <c r="F289" s="5"/>
      <c r="G289" s="39"/>
      <c r="H289" s="5"/>
      <c r="I289" s="39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39"/>
      <c r="F290" s="5"/>
      <c r="G290" s="39"/>
      <c r="H290" s="5"/>
      <c r="I290" s="39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39"/>
      <c r="F291" s="5"/>
      <c r="G291" s="39"/>
      <c r="H291" s="5"/>
      <c r="I291" s="39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39"/>
      <c r="F292" s="5"/>
      <c r="G292" s="39"/>
      <c r="H292" s="5"/>
      <c r="I292" s="39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39"/>
      <c r="F293" s="5"/>
      <c r="G293" s="39"/>
      <c r="H293" s="5"/>
      <c r="I293" s="39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39"/>
      <c r="F294" s="5"/>
      <c r="G294" s="39"/>
      <c r="H294" s="5"/>
      <c r="I294" s="39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39"/>
      <c r="F295" s="5"/>
      <c r="G295" s="39"/>
      <c r="H295" s="5"/>
      <c r="I295" s="39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39"/>
      <c r="F296" s="5"/>
      <c r="G296" s="39"/>
      <c r="H296" s="5"/>
      <c r="I296" s="39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39"/>
      <c r="F297" s="5"/>
      <c r="G297" s="39"/>
      <c r="H297" s="5"/>
      <c r="I297" s="39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39"/>
      <c r="F298" s="5"/>
      <c r="G298" s="39"/>
      <c r="H298" s="5"/>
      <c r="I298" s="39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39"/>
      <c r="F299" s="5"/>
      <c r="G299" s="39"/>
      <c r="H299" s="5"/>
      <c r="I299" s="39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39"/>
      <c r="F300" s="5"/>
      <c r="G300" s="39"/>
      <c r="H300" s="5"/>
      <c r="I300" s="39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39"/>
      <c r="F301" s="5"/>
      <c r="G301" s="39"/>
      <c r="H301" s="5"/>
      <c r="I301" s="39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39"/>
      <c r="F302" s="5"/>
      <c r="G302" s="39"/>
      <c r="H302" s="5"/>
      <c r="I302" s="39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39"/>
      <c r="F303" s="5"/>
      <c r="G303" s="39"/>
      <c r="H303" s="5"/>
      <c r="I303" s="39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39"/>
      <c r="F304" s="5"/>
      <c r="G304" s="39"/>
      <c r="H304" s="5"/>
      <c r="I304" s="39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39"/>
      <c r="F305" s="5"/>
      <c r="G305" s="39"/>
      <c r="H305" s="5"/>
      <c r="I305" s="39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39"/>
      <c r="F306" s="5"/>
      <c r="G306" s="39"/>
      <c r="H306" s="5"/>
      <c r="I306" s="39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39"/>
      <c r="F307" s="5"/>
      <c r="G307" s="39"/>
      <c r="H307" s="5"/>
      <c r="I307" s="39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39"/>
      <c r="F308" s="5"/>
      <c r="G308" s="39"/>
      <c r="H308" s="5"/>
      <c r="I308" s="39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39"/>
      <c r="F309" s="5"/>
      <c r="G309" s="39"/>
      <c r="H309" s="5"/>
      <c r="I309" s="39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39"/>
      <c r="F310" s="5"/>
      <c r="G310" s="39"/>
      <c r="H310" s="5"/>
      <c r="I310" s="39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39"/>
      <c r="F311" s="5"/>
      <c r="G311" s="39"/>
      <c r="H311" s="5"/>
      <c r="I311" s="39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39"/>
      <c r="F312" s="5"/>
      <c r="G312" s="39"/>
      <c r="H312" s="5"/>
      <c r="I312" s="39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39"/>
      <c r="F313" s="5"/>
      <c r="G313" s="39"/>
      <c r="H313" s="5"/>
      <c r="I313" s="39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39"/>
      <c r="F314" s="5"/>
      <c r="G314" s="39"/>
      <c r="H314" s="5"/>
      <c r="I314" s="39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39"/>
      <c r="F315" s="5"/>
      <c r="G315" s="39"/>
      <c r="H315" s="5"/>
      <c r="I315" s="39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39"/>
      <c r="F316" s="5"/>
      <c r="G316" s="39"/>
      <c r="H316" s="5"/>
      <c r="I316" s="39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39"/>
      <c r="F317" s="5"/>
      <c r="G317" s="39"/>
      <c r="H317" s="5"/>
      <c r="I317" s="39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39"/>
      <c r="F318" s="5"/>
      <c r="G318" s="39"/>
      <c r="H318" s="5"/>
      <c r="I318" s="39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39"/>
      <c r="F319" s="5"/>
      <c r="G319" s="39"/>
      <c r="H319" s="5"/>
      <c r="I319" s="39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39"/>
      <c r="F320" s="5"/>
      <c r="G320" s="39"/>
      <c r="H320" s="5"/>
      <c r="I320" s="39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39"/>
      <c r="F321" s="5"/>
      <c r="G321" s="39"/>
      <c r="H321" s="5"/>
      <c r="I321" s="39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39"/>
      <c r="F322" s="5"/>
      <c r="G322" s="39"/>
      <c r="H322" s="5"/>
      <c r="I322" s="39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39"/>
      <c r="F323" s="5"/>
      <c r="G323" s="39"/>
      <c r="H323" s="5"/>
      <c r="I323" s="39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39"/>
      <c r="F324" s="5"/>
      <c r="G324" s="39"/>
      <c r="H324" s="5"/>
      <c r="I324" s="39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39"/>
      <c r="F325" s="5"/>
      <c r="G325" s="39"/>
      <c r="H325" s="5"/>
      <c r="I325" s="39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39"/>
      <c r="F326" s="5"/>
      <c r="G326" s="39"/>
      <c r="H326" s="5"/>
      <c r="I326" s="39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39"/>
      <c r="F327" s="5"/>
      <c r="G327" s="39"/>
      <c r="H327" s="5"/>
      <c r="I327" s="39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39"/>
      <c r="F328" s="5"/>
      <c r="G328" s="39"/>
      <c r="H328" s="5"/>
      <c r="I328" s="39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39"/>
      <c r="F329" s="5"/>
      <c r="G329" s="39"/>
      <c r="H329" s="5"/>
      <c r="I329" s="39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39"/>
      <c r="F330" s="5"/>
      <c r="G330" s="39"/>
      <c r="H330" s="5"/>
      <c r="I330" s="39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39"/>
      <c r="F331" s="5"/>
      <c r="G331" s="39"/>
      <c r="H331" s="5"/>
      <c r="I331" s="39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39"/>
      <c r="F332" s="5"/>
      <c r="G332" s="39"/>
      <c r="H332" s="5"/>
      <c r="I332" s="39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39"/>
      <c r="F333" s="5"/>
      <c r="G333" s="39"/>
      <c r="H333" s="5"/>
      <c r="I333" s="39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39"/>
      <c r="F334" s="5"/>
      <c r="G334" s="39"/>
      <c r="H334" s="5"/>
      <c r="I334" s="39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39"/>
      <c r="F335" s="5"/>
      <c r="G335" s="39"/>
      <c r="H335" s="5"/>
      <c r="I335" s="39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39"/>
      <c r="F336" s="5"/>
      <c r="G336" s="39"/>
      <c r="H336" s="5"/>
      <c r="I336" s="39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39"/>
      <c r="F337" s="5"/>
      <c r="G337" s="39"/>
      <c r="H337" s="5"/>
      <c r="I337" s="39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39"/>
      <c r="F338" s="5"/>
      <c r="G338" s="39"/>
      <c r="H338" s="5"/>
      <c r="I338" s="39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39"/>
      <c r="F339" s="5"/>
      <c r="G339" s="39"/>
      <c r="H339" s="5"/>
      <c r="I339" s="39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39"/>
      <c r="F340" s="5"/>
      <c r="G340" s="39"/>
      <c r="H340" s="5"/>
      <c r="I340" s="39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39"/>
      <c r="F341" s="5"/>
      <c r="G341" s="39"/>
      <c r="H341" s="5"/>
      <c r="I341" s="39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39"/>
      <c r="F342" s="5"/>
      <c r="G342" s="39"/>
      <c r="H342" s="5"/>
      <c r="I342" s="39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39"/>
      <c r="F343" s="5"/>
      <c r="G343" s="39"/>
      <c r="H343" s="5"/>
      <c r="I343" s="39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39"/>
      <c r="F344" s="5"/>
      <c r="G344" s="39"/>
      <c r="H344" s="5"/>
      <c r="I344" s="39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39"/>
      <c r="F345" s="5"/>
      <c r="G345" s="39"/>
      <c r="H345" s="5"/>
      <c r="I345" s="39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39"/>
      <c r="F346" s="5"/>
      <c r="G346" s="39"/>
      <c r="H346" s="5"/>
      <c r="I346" s="39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39"/>
      <c r="F347" s="5"/>
      <c r="G347" s="39"/>
      <c r="H347" s="5"/>
      <c r="I347" s="39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39"/>
      <c r="F348" s="5"/>
      <c r="G348" s="39"/>
      <c r="H348" s="5"/>
      <c r="I348" s="39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39"/>
      <c r="F349" s="5"/>
      <c r="G349" s="39"/>
      <c r="H349" s="5"/>
      <c r="I349" s="39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39"/>
      <c r="F350" s="5"/>
      <c r="G350" s="39"/>
      <c r="H350" s="5"/>
      <c r="I350" s="39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39"/>
      <c r="F351" s="5"/>
      <c r="G351" s="39"/>
      <c r="H351" s="5"/>
      <c r="I351" s="39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39"/>
      <c r="F352" s="5"/>
      <c r="G352" s="39"/>
      <c r="H352" s="5"/>
      <c r="I352" s="39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39"/>
      <c r="F353" s="5"/>
      <c r="G353" s="39"/>
      <c r="H353" s="5"/>
      <c r="I353" s="39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39"/>
      <c r="F354" s="5"/>
      <c r="G354" s="39"/>
      <c r="H354" s="5"/>
      <c r="I354" s="39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39"/>
      <c r="F355" s="5"/>
      <c r="G355" s="39"/>
      <c r="H355" s="5"/>
      <c r="I355" s="39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39"/>
      <c r="F356" s="5"/>
      <c r="G356" s="39"/>
      <c r="H356" s="5"/>
      <c r="I356" s="39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39"/>
      <c r="F357" s="5"/>
      <c r="G357" s="39"/>
      <c r="H357" s="5"/>
      <c r="I357" s="39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39"/>
      <c r="F358" s="5"/>
      <c r="G358" s="39"/>
      <c r="H358" s="5"/>
      <c r="I358" s="39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39"/>
      <c r="F359" s="5"/>
      <c r="G359" s="39"/>
      <c r="H359" s="5"/>
      <c r="I359" s="39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39"/>
      <c r="F360" s="5"/>
      <c r="G360" s="39"/>
      <c r="H360" s="5"/>
      <c r="I360" s="39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39"/>
      <c r="F361" s="5"/>
      <c r="G361" s="39"/>
      <c r="H361" s="5"/>
      <c r="I361" s="39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39"/>
      <c r="F362" s="5"/>
      <c r="G362" s="39"/>
      <c r="H362" s="5"/>
      <c r="I362" s="39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39"/>
      <c r="F363" s="5"/>
      <c r="G363" s="39"/>
      <c r="H363" s="5"/>
      <c r="I363" s="39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39"/>
      <c r="F364" s="5"/>
      <c r="G364" s="39"/>
      <c r="H364" s="5"/>
      <c r="I364" s="39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39"/>
      <c r="F365" s="5"/>
      <c r="G365" s="39"/>
      <c r="H365" s="5"/>
      <c r="I365" s="39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39"/>
      <c r="F366" s="5"/>
      <c r="G366" s="39"/>
      <c r="H366" s="5"/>
      <c r="I366" s="39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39"/>
      <c r="F367" s="5"/>
      <c r="G367" s="39"/>
      <c r="H367" s="5"/>
      <c r="I367" s="39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39"/>
      <c r="F368" s="5"/>
      <c r="G368" s="39"/>
      <c r="H368" s="5"/>
      <c r="I368" s="39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39"/>
      <c r="F369" s="5"/>
      <c r="G369" s="39"/>
      <c r="H369" s="5"/>
      <c r="I369" s="39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39"/>
      <c r="F370" s="5"/>
      <c r="G370" s="39"/>
      <c r="H370" s="5"/>
      <c r="I370" s="39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39"/>
      <c r="F371" s="5"/>
      <c r="G371" s="39"/>
      <c r="H371" s="5"/>
      <c r="I371" s="39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39"/>
      <c r="F372" s="5"/>
      <c r="G372" s="39"/>
      <c r="H372" s="5"/>
      <c r="I372" s="39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39"/>
      <c r="F373" s="5"/>
      <c r="G373" s="39"/>
      <c r="H373" s="5"/>
      <c r="I373" s="39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39"/>
      <c r="F374" s="5"/>
      <c r="G374" s="39"/>
      <c r="H374" s="5"/>
      <c r="I374" s="39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39"/>
      <c r="F375" s="5"/>
      <c r="G375" s="39"/>
      <c r="H375" s="5"/>
      <c r="I375" s="39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39"/>
      <c r="F376" s="5"/>
      <c r="G376" s="39"/>
      <c r="H376" s="5"/>
      <c r="I376" s="39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39"/>
      <c r="F377" s="5"/>
      <c r="G377" s="39"/>
      <c r="H377" s="5"/>
      <c r="I377" s="39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39"/>
      <c r="F378" s="5"/>
      <c r="G378" s="39"/>
      <c r="H378" s="5"/>
      <c r="I378" s="39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39"/>
      <c r="F379" s="5"/>
      <c r="G379" s="39"/>
      <c r="H379" s="5"/>
      <c r="I379" s="39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39"/>
      <c r="F380" s="5"/>
      <c r="G380" s="39"/>
      <c r="H380" s="5"/>
      <c r="I380" s="39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39"/>
      <c r="F381" s="5"/>
      <c r="G381" s="39"/>
      <c r="H381" s="5"/>
      <c r="I381" s="39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39"/>
      <c r="F382" s="5"/>
      <c r="G382" s="39"/>
      <c r="H382" s="5"/>
      <c r="I382" s="39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39"/>
      <c r="F383" s="5"/>
      <c r="G383" s="39"/>
      <c r="H383" s="5"/>
      <c r="I383" s="39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39"/>
      <c r="F384" s="5"/>
      <c r="G384" s="39"/>
      <c r="H384" s="5"/>
      <c r="I384" s="39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39"/>
      <c r="F385" s="5"/>
      <c r="G385" s="39"/>
      <c r="H385" s="5"/>
      <c r="I385" s="39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39"/>
      <c r="F386" s="5"/>
      <c r="G386" s="39"/>
      <c r="H386" s="5"/>
      <c r="I386" s="39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39"/>
      <c r="F387" s="5"/>
      <c r="G387" s="39"/>
      <c r="H387" s="5"/>
      <c r="I387" s="39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39"/>
      <c r="F388" s="5"/>
      <c r="G388" s="39"/>
      <c r="H388" s="5"/>
      <c r="I388" s="39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39"/>
      <c r="F389" s="5"/>
      <c r="G389" s="39"/>
      <c r="H389" s="5"/>
      <c r="I389" s="39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39"/>
      <c r="F390" s="5"/>
      <c r="G390" s="39"/>
      <c r="H390" s="5"/>
      <c r="I390" s="39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39"/>
      <c r="F391" s="5"/>
      <c r="G391" s="39"/>
      <c r="H391" s="5"/>
      <c r="I391" s="39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39"/>
      <c r="F392" s="5"/>
      <c r="G392" s="39"/>
      <c r="H392" s="5"/>
      <c r="I392" s="39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39"/>
      <c r="F393" s="5"/>
      <c r="G393" s="39"/>
      <c r="H393" s="5"/>
      <c r="I393" s="39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39"/>
      <c r="F394" s="5"/>
      <c r="G394" s="39"/>
      <c r="H394" s="5"/>
      <c r="I394" s="39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39"/>
      <c r="F395" s="5"/>
      <c r="G395" s="39"/>
      <c r="H395" s="5"/>
      <c r="I395" s="39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39"/>
      <c r="F396" s="5"/>
      <c r="G396" s="39"/>
      <c r="H396" s="5"/>
      <c r="I396" s="39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39"/>
      <c r="F397" s="5"/>
      <c r="G397" s="39"/>
      <c r="H397" s="5"/>
      <c r="I397" s="39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39"/>
      <c r="F398" s="5"/>
      <c r="G398" s="39"/>
      <c r="H398" s="5"/>
      <c r="I398" s="39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39"/>
      <c r="F399" s="5"/>
      <c r="G399" s="39"/>
      <c r="H399" s="5"/>
      <c r="I399" s="39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39"/>
      <c r="F400" s="5"/>
      <c r="G400" s="39"/>
      <c r="H400" s="5"/>
      <c r="I400" s="39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39"/>
      <c r="F401" s="5"/>
      <c r="G401" s="39"/>
      <c r="H401" s="5"/>
      <c r="I401" s="39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39"/>
      <c r="F402" s="5"/>
      <c r="G402" s="39"/>
      <c r="H402" s="5"/>
      <c r="I402" s="39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39"/>
      <c r="F403" s="5"/>
      <c r="G403" s="39"/>
      <c r="H403" s="5"/>
      <c r="I403" s="39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39"/>
      <c r="F404" s="5"/>
      <c r="G404" s="39"/>
      <c r="H404" s="5"/>
      <c r="I404" s="39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39"/>
      <c r="F405" s="5"/>
      <c r="G405" s="39"/>
      <c r="H405" s="5"/>
      <c r="I405" s="39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39"/>
      <c r="F406" s="5"/>
      <c r="G406" s="39"/>
      <c r="H406" s="5"/>
      <c r="I406" s="39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39"/>
      <c r="F407" s="5"/>
      <c r="G407" s="39"/>
      <c r="H407" s="5"/>
      <c r="I407" s="39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39"/>
      <c r="F408" s="5"/>
      <c r="G408" s="39"/>
      <c r="H408" s="5"/>
      <c r="I408" s="39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39"/>
      <c r="F409" s="5"/>
      <c r="G409" s="39"/>
      <c r="H409" s="5"/>
      <c r="I409" s="39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39"/>
      <c r="F410" s="5"/>
      <c r="G410" s="39"/>
      <c r="H410" s="5"/>
      <c r="I410" s="39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39"/>
      <c r="F411" s="5"/>
      <c r="G411" s="39"/>
      <c r="H411" s="5"/>
      <c r="I411" s="39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39"/>
      <c r="F412" s="5"/>
      <c r="G412" s="39"/>
      <c r="H412" s="5"/>
      <c r="I412" s="39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39"/>
      <c r="F413" s="5"/>
      <c r="G413" s="39"/>
      <c r="H413" s="5"/>
      <c r="I413" s="39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39"/>
      <c r="F414" s="5"/>
      <c r="G414" s="39"/>
      <c r="H414" s="5"/>
      <c r="I414" s="39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39"/>
      <c r="F415" s="5"/>
      <c r="G415" s="39"/>
      <c r="H415" s="5"/>
      <c r="I415" s="39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39"/>
      <c r="F416" s="5"/>
      <c r="G416" s="39"/>
      <c r="H416" s="5"/>
      <c r="I416" s="39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39"/>
      <c r="F417" s="5"/>
      <c r="G417" s="39"/>
      <c r="H417" s="5"/>
      <c r="I417" s="39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39"/>
      <c r="F418" s="5"/>
      <c r="G418" s="39"/>
      <c r="H418" s="5"/>
      <c r="I418" s="39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39"/>
      <c r="F419" s="5"/>
      <c r="G419" s="39"/>
      <c r="H419" s="5"/>
      <c r="I419" s="39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39"/>
      <c r="F420" s="5"/>
      <c r="G420" s="39"/>
      <c r="H420" s="5"/>
      <c r="I420" s="39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39"/>
      <c r="F421" s="5"/>
      <c r="G421" s="39"/>
      <c r="H421" s="5"/>
      <c r="I421" s="39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39"/>
      <c r="F422" s="5"/>
      <c r="G422" s="39"/>
      <c r="H422" s="5"/>
      <c r="I422" s="39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39"/>
      <c r="F423" s="5"/>
      <c r="G423" s="39"/>
      <c r="H423" s="5"/>
      <c r="I423" s="39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39"/>
      <c r="F424" s="5"/>
      <c r="G424" s="39"/>
      <c r="H424" s="5"/>
      <c r="I424" s="39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39"/>
      <c r="F425" s="5"/>
      <c r="G425" s="39"/>
      <c r="H425" s="5"/>
      <c r="I425" s="39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39"/>
      <c r="F426" s="5"/>
      <c r="G426" s="39"/>
      <c r="H426" s="5"/>
      <c r="I426" s="39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39"/>
      <c r="F427" s="5"/>
      <c r="G427" s="39"/>
      <c r="H427" s="5"/>
      <c r="I427" s="39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39"/>
      <c r="F428" s="5"/>
      <c r="G428" s="39"/>
      <c r="H428" s="5"/>
      <c r="I428" s="39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39"/>
      <c r="F429" s="5"/>
      <c r="G429" s="39"/>
      <c r="H429" s="5"/>
      <c r="I429" s="39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39"/>
      <c r="F430" s="5"/>
      <c r="G430" s="39"/>
      <c r="H430" s="5"/>
      <c r="I430" s="39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39"/>
      <c r="F431" s="5"/>
      <c r="G431" s="39"/>
      <c r="H431" s="5"/>
      <c r="I431" s="39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39"/>
      <c r="F432" s="5"/>
      <c r="G432" s="39"/>
      <c r="H432" s="5"/>
      <c r="I432" s="39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39"/>
      <c r="F433" s="5"/>
      <c r="G433" s="39"/>
      <c r="H433" s="5"/>
      <c r="I433" s="39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39"/>
      <c r="F434" s="5"/>
      <c r="G434" s="39"/>
      <c r="H434" s="5"/>
      <c r="I434" s="39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39"/>
      <c r="F435" s="5"/>
      <c r="G435" s="39"/>
      <c r="H435" s="5"/>
      <c r="I435" s="39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39"/>
      <c r="F436" s="5"/>
      <c r="G436" s="39"/>
      <c r="H436" s="5"/>
      <c r="I436" s="39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39"/>
      <c r="F437" s="5"/>
      <c r="G437" s="39"/>
      <c r="H437" s="5"/>
      <c r="I437" s="39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39"/>
      <c r="F438" s="5"/>
      <c r="G438" s="39"/>
      <c r="H438" s="5"/>
      <c r="I438" s="39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39"/>
      <c r="F439" s="5"/>
      <c r="G439" s="39"/>
      <c r="H439" s="5"/>
      <c r="I439" s="39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39"/>
      <c r="F440" s="5"/>
      <c r="G440" s="39"/>
      <c r="H440" s="5"/>
      <c r="I440" s="39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39"/>
      <c r="F441" s="5"/>
      <c r="G441" s="39"/>
      <c r="H441" s="5"/>
      <c r="I441" s="39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39"/>
      <c r="F442" s="5"/>
      <c r="G442" s="39"/>
      <c r="H442" s="5"/>
      <c r="I442" s="39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39"/>
      <c r="F443" s="5"/>
      <c r="G443" s="39"/>
      <c r="H443" s="5"/>
      <c r="I443" s="39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39"/>
      <c r="F444" s="5"/>
      <c r="G444" s="39"/>
      <c r="H444" s="5"/>
      <c r="I444" s="39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39"/>
      <c r="F445" s="5"/>
      <c r="G445" s="39"/>
      <c r="H445" s="5"/>
      <c r="I445" s="39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39"/>
      <c r="F446" s="5"/>
      <c r="G446" s="39"/>
      <c r="H446" s="5"/>
      <c r="I446" s="39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39"/>
      <c r="F447" s="5"/>
      <c r="G447" s="39"/>
      <c r="H447" s="5"/>
      <c r="I447" s="39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39"/>
      <c r="F448" s="5"/>
      <c r="G448" s="39"/>
      <c r="H448" s="5"/>
      <c r="I448" s="39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39"/>
      <c r="F449" s="5"/>
      <c r="G449" s="39"/>
      <c r="H449" s="5"/>
      <c r="I449" s="39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39"/>
      <c r="F450" s="5"/>
      <c r="G450" s="39"/>
      <c r="H450" s="5"/>
      <c r="I450" s="39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39"/>
      <c r="F451" s="5"/>
      <c r="G451" s="39"/>
      <c r="H451" s="5"/>
      <c r="I451" s="39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39"/>
      <c r="F452" s="5"/>
      <c r="G452" s="39"/>
      <c r="H452" s="5"/>
      <c r="I452" s="39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39"/>
      <c r="F453" s="5"/>
      <c r="G453" s="39"/>
      <c r="H453" s="5"/>
      <c r="I453" s="39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39"/>
      <c r="F454" s="5"/>
      <c r="G454" s="39"/>
      <c r="H454" s="5"/>
      <c r="I454" s="39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39"/>
      <c r="F455" s="5"/>
      <c r="G455" s="39"/>
      <c r="H455" s="5"/>
      <c r="I455" s="39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39"/>
      <c r="F456" s="5"/>
      <c r="G456" s="39"/>
      <c r="H456" s="5"/>
      <c r="I456" s="39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39"/>
      <c r="F457" s="5"/>
      <c r="G457" s="39"/>
      <c r="H457" s="5"/>
      <c r="I457" s="39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39"/>
      <c r="F458" s="5"/>
      <c r="G458" s="39"/>
      <c r="H458" s="5"/>
      <c r="I458" s="39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39"/>
      <c r="F459" s="5"/>
      <c r="G459" s="39"/>
      <c r="H459" s="5"/>
      <c r="I459" s="39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39"/>
      <c r="F460" s="5"/>
      <c r="G460" s="39"/>
      <c r="H460" s="5"/>
      <c r="I460" s="39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39"/>
      <c r="F461" s="5"/>
      <c r="G461" s="39"/>
      <c r="H461" s="5"/>
      <c r="I461" s="39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39"/>
      <c r="F462" s="5"/>
      <c r="G462" s="39"/>
      <c r="H462" s="5"/>
      <c r="I462" s="39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39"/>
      <c r="F463" s="5"/>
      <c r="G463" s="39"/>
      <c r="H463" s="5"/>
      <c r="I463" s="39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39"/>
      <c r="F464" s="5"/>
      <c r="G464" s="39"/>
      <c r="H464" s="5"/>
      <c r="I464" s="39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39"/>
      <c r="F465" s="5"/>
      <c r="G465" s="39"/>
      <c r="H465" s="5"/>
      <c r="I465" s="39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39"/>
      <c r="F466" s="5"/>
      <c r="G466" s="39"/>
      <c r="H466" s="5"/>
      <c r="I466" s="39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39"/>
      <c r="F467" s="5"/>
      <c r="G467" s="39"/>
      <c r="H467" s="5"/>
      <c r="I467" s="39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39"/>
      <c r="F468" s="5"/>
      <c r="G468" s="39"/>
      <c r="H468" s="5"/>
      <c r="I468" s="39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39"/>
      <c r="F469" s="5"/>
      <c r="G469" s="39"/>
      <c r="H469" s="5"/>
      <c r="I469" s="39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39"/>
      <c r="F470" s="5"/>
      <c r="G470" s="39"/>
      <c r="H470" s="5"/>
      <c r="I470" s="39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39"/>
      <c r="F471" s="5"/>
      <c r="G471" s="39"/>
      <c r="H471" s="5"/>
      <c r="I471" s="39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39"/>
      <c r="F472" s="5"/>
      <c r="G472" s="39"/>
      <c r="H472" s="5"/>
      <c r="I472" s="39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39"/>
      <c r="F473" s="5"/>
      <c r="G473" s="39"/>
      <c r="H473" s="5"/>
      <c r="I473" s="39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39"/>
      <c r="F474" s="5"/>
      <c r="G474" s="39"/>
      <c r="H474" s="5"/>
      <c r="I474" s="39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39"/>
      <c r="F475" s="5"/>
      <c r="G475" s="39"/>
      <c r="H475" s="5"/>
      <c r="I475" s="39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39"/>
      <c r="F476" s="5"/>
      <c r="G476" s="39"/>
      <c r="H476" s="5"/>
      <c r="I476" s="39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39"/>
      <c r="F477" s="5"/>
      <c r="G477" s="39"/>
      <c r="H477" s="5"/>
      <c r="I477" s="39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39"/>
      <c r="F478" s="5"/>
      <c r="G478" s="39"/>
      <c r="H478" s="5"/>
      <c r="I478" s="39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39"/>
      <c r="F479" s="5"/>
      <c r="G479" s="39"/>
      <c r="H479" s="5"/>
      <c r="I479" s="39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39"/>
      <c r="F480" s="5"/>
      <c r="G480" s="39"/>
      <c r="H480" s="5"/>
      <c r="I480" s="39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39"/>
      <c r="F481" s="5"/>
      <c r="G481" s="39"/>
      <c r="H481" s="5"/>
      <c r="I481" s="39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39"/>
      <c r="F482" s="5"/>
      <c r="G482" s="39"/>
      <c r="H482" s="5"/>
      <c r="I482" s="39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39"/>
      <c r="F483" s="5"/>
      <c r="G483" s="39"/>
      <c r="H483" s="5"/>
      <c r="I483" s="39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39"/>
      <c r="F484" s="5"/>
      <c r="G484" s="39"/>
      <c r="H484" s="5"/>
      <c r="I484" s="39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39"/>
      <c r="F485" s="5"/>
      <c r="G485" s="39"/>
      <c r="H485" s="5"/>
      <c r="I485" s="39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39"/>
      <c r="F486" s="5"/>
      <c r="G486" s="39"/>
      <c r="H486" s="5"/>
      <c r="I486" s="39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39"/>
      <c r="F487" s="5"/>
      <c r="G487" s="39"/>
      <c r="H487" s="5"/>
      <c r="I487" s="39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39"/>
      <c r="F488" s="5"/>
      <c r="G488" s="39"/>
      <c r="H488" s="5"/>
      <c r="I488" s="39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39"/>
      <c r="F489" s="5"/>
      <c r="G489" s="39"/>
      <c r="H489" s="5"/>
      <c r="I489" s="39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39"/>
      <c r="F490" s="5"/>
      <c r="G490" s="39"/>
      <c r="H490" s="5"/>
      <c r="I490" s="39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39"/>
      <c r="F491" s="5"/>
      <c r="G491" s="39"/>
      <c r="H491" s="5"/>
      <c r="I491" s="39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39"/>
      <c r="F492" s="5"/>
      <c r="G492" s="39"/>
      <c r="H492" s="5"/>
      <c r="I492" s="39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39"/>
      <c r="F493" s="5"/>
      <c r="G493" s="39"/>
      <c r="H493" s="5"/>
      <c r="I493" s="39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39"/>
      <c r="F494" s="5"/>
      <c r="G494" s="39"/>
      <c r="H494" s="5"/>
      <c r="I494" s="39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39"/>
      <c r="F495" s="5"/>
      <c r="G495" s="39"/>
      <c r="H495" s="5"/>
      <c r="I495" s="39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39"/>
      <c r="F496" s="5"/>
      <c r="G496" s="39"/>
      <c r="H496" s="5"/>
      <c r="I496" s="39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39"/>
      <c r="F497" s="5"/>
      <c r="G497" s="39"/>
      <c r="H497" s="5"/>
      <c r="I497" s="39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39"/>
      <c r="F498" s="5"/>
      <c r="G498" s="39"/>
      <c r="H498" s="5"/>
      <c r="I498" s="39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39"/>
      <c r="F499" s="5"/>
      <c r="G499" s="39"/>
      <c r="H499" s="5"/>
      <c r="I499" s="39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39"/>
      <c r="F500" s="5"/>
      <c r="G500" s="39"/>
      <c r="H500" s="5"/>
      <c r="I500" s="39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39"/>
      <c r="F501" s="5"/>
      <c r="G501" s="39"/>
      <c r="H501" s="5"/>
      <c r="I501" s="39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39"/>
      <c r="F502" s="5"/>
      <c r="G502" s="39"/>
      <c r="H502" s="5"/>
      <c r="I502" s="39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39"/>
      <c r="F503" s="5"/>
      <c r="G503" s="39"/>
      <c r="H503" s="5"/>
      <c r="I503" s="39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39"/>
      <c r="F504" s="5"/>
      <c r="G504" s="39"/>
      <c r="H504" s="5"/>
      <c r="I504" s="39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39"/>
      <c r="F505" s="5"/>
      <c r="G505" s="39"/>
      <c r="H505" s="5"/>
      <c r="I505" s="39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39"/>
      <c r="F506" s="5"/>
      <c r="G506" s="39"/>
      <c r="H506" s="5"/>
      <c r="I506" s="39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39"/>
      <c r="F507" s="5"/>
      <c r="G507" s="39"/>
      <c r="H507" s="5"/>
      <c r="I507" s="39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39"/>
      <c r="F508" s="5"/>
      <c r="G508" s="39"/>
      <c r="H508" s="5"/>
      <c r="I508" s="39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39"/>
      <c r="F509" s="5"/>
      <c r="G509" s="39"/>
      <c r="H509" s="5"/>
      <c r="I509" s="39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39"/>
      <c r="F510" s="5"/>
      <c r="G510" s="39"/>
      <c r="H510" s="5"/>
      <c r="I510" s="39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39"/>
      <c r="F511" s="5"/>
      <c r="G511" s="39"/>
      <c r="H511" s="5"/>
      <c r="I511" s="39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39"/>
      <c r="F512" s="5"/>
      <c r="G512" s="39"/>
      <c r="H512" s="5"/>
      <c r="I512" s="39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39"/>
      <c r="F513" s="5"/>
      <c r="G513" s="39"/>
      <c r="H513" s="5"/>
      <c r="I513" s="39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39"/>
      <c r="F514" s="5"/>
      <c r="G514" s="39"/>
      <c r="H514" s="5"/>
      <c r="I514" s="39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39"/>
      <c r="F515" s="5"/>
      <c r="G515" s="39"/>
      <c r="H515" s="5"/>
      <c r="I515" s="39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39"/>
      <c r="F516" s="5"/>
      <c r="G516" s="39"/>
      <c r="H516" s="5"/>
      <c r="I516" s="39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39"/>
      <c r="F517" s="5"/>
      <c r="G517" s="39"/>
      <c r="H517" s="5"/>
      <c r="I517" s="39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39"/>
      <c r="F518" s="5"/>
      <c r="G518" s="39"/>
      <c r="H518" s="5"/>
      <c r="I518" s="39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39"/>
      <c r="F519" s="5"/>
      <c r="G519" s="39"/>
      <c r="H519" s="5"/>
      <c r="I519" s="39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39"/>
      <c r="F520" s="5"/>
      <c r="G520" s="39"/>
      <c r="H520" s="5"/>
      <c r="I520" s="39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39"/>
      <c r="F521" s="5"/>
      <c r="G521" s="39"/>
      <c r="H521" s="5"/>
      <c r="I521" s="39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39"/>
      <c r="F522" s="5"/>
      <c r="G522" s="39"/>
      <c r="H522" s="5"/>
      <c r="I522" s="39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39"/>
      <c r="F523" s="5"/>
      <c r="G523" s="39"/>
      <c r="H523" s="5"/>
      <c r="I523" s="39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39"/>
      <c r="F524" s="5"/>
      <c r="G524" s="39"/>
      <c r="H524" s="5"/>
      <c r="I524" s="39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39"/>
      <c r="F525" s="5"/>
      <c r="G525" s="39"/>
      <c r="H525" s="5"/>
      <c r="I525" s="39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39"/>
      <c r="F526" s="5"/>
      <c r="G526" s="39"/>
      <c r="H526" s="5"/>
      <c r="I526" s="39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39"/>
      <c r="F527" s="5"/>
      <c r="G527" s="39"/>
      <c r="H527" s="5"/>
      <c r="I527" s="39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39"/>
      <c r="F528" s="5"/>
      <c r="G528" s="39"/>
      <c r="H528" s="5"/>
      <c r="I528" s="39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39"/>
      <c r="F529" s="5"/>
      <c r="G529" s="39"/>
      <c r="H529" s="5"/>
      <c r="I529" s="39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39"/>
      <c r="F530" s="5"/>
      <c r="G530" s="39"/>
      <c r="H530" s="5"/>
      <c r="I530" s="39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39"/>
      <c r="F531" s="5"/>
      <c r="G531" s="39"/>
      <c r="H531" s="5"/>
      <c r="I531" s="39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39"/>
      <c r="F532" s="5"/>
      <c r="G532" s="39"/>
      <c r="H532" s="5"/>
      <c r="I532" s="39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39"/>
      <c r="F533" s="5"/>
      <c r="G533" s="39"/>
      <c r="H533" s="5"/>
      <c r="I533" s="39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39"/>
      <c r="F534" s="5"/>
      <c r="G534" s="39"/>
      <c r="H534" s="5"/>
      <c r="I534" s="39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39"/>
      <c r="F535" s="5"/>
      <c r="G535" s="39"/>
      <c r="H535" s="5"/>
      <c r="I535" s="39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39"/>
      <c r="F536" s="5"/>
      <c r="G536" s="39"/>
      <c r="H536" s="5"/>
      <c r="I536" s="39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39"/>
      <c r="F537" s="5"/>
      <c r="G537" s="39"/>
      <c r="H537" s="5"/>
      <c r="I537" s="39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39"/>
      <c r="F538" s="5"/>
      <c r="G538" s="39"/>
      <c r="H538" s="5"/>
      <c r="I538" s="39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39"/>
      <c r="F539" s="5"/>
      <c r="G539" s="39"/>
      <c r="H539" s="5"/>
      <c r="I539" s="39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39"/>
      <c r="F540" s="5"/>
      <c r="G540" s="39"/>
      <c r="H540" s="5"/>
      <c r="I540" s="39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39"/>
      <c r="F541" s="5"/>
      <c r="G541" s="39"/>
      <c r="H541" s="5"/>
      <c r="I541" s="39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39"/>
      <c r="F542" s="5"/>
      <c r="G542" s="39"/>
      <c r="H542" s="5"/>
      <c r="I542" s="39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39"/>
      <c r="F543" s="5"/>
      <c r="G543" s="39"/>
      <c r="H543" s="5"/>
      <c r="I543" s="39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39"/>
      <c r="F544" s="5"/>
      <c r="G544" s="39"/>
      <c r="H544" s="5"/>
      <c r="I544" s="39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39"/>
      <c r="F545" s="5"/>
      <c r="G545" s="39"/>
      <c r="H545" s="5"/>
      <c r="I545" s="39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39"/>
      <c r="F546" s="5"/>
      <c r="G546" s="39"/>
      <c r="H546" s="5"/>
      <c r="I546" s="39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39"/>
      <c r="F547" s="5"/>
      <c r="G547" s="39"/>
      <c r="H547" s="5"/>
      <c r="I547" s="39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39"/>
      <c r="F548" s="5"/>
      <c r="G548" s="39"/>
      <c r="H548" s="5"/>
      <c r="I548" s="39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39"/>
      <c r="F549" s="5"/>
      <c r="G549" s="39"/>
      <c r="H549" s="5"/>
      <c r="I549" s="39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39"/>
      <c r="F550" s="5"/>
      <c r="G550" s="39"/>
      <c r="H550" s="5"/>
      <c r="I550" s="39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39"/>
      <c r="F551" s="5"/>
      <c r="G551" s="39"/>
      <c r="H551" s="5"/>
      <c r="I551" s="39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39"/>
      <c r="F552" s="5"/>
      <c r="G552" s="39"/>
      <c r="H552" s="5"/>
      <c r="I552" s="39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39"/>
      <c r="F553" s="5"/>
      <c r="G553" s="39"/>
      <c r="H553" s="5"/>
      <c r="I553" s="39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39"/>
      <c r="F554" s="5"/>
      <c r="G554" s="39"/>
      <c r="H554" s="5"/>
      <c r="I554" s="39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39"/>
      <c r="F555" s="5"/>
      <c r="G555" s="39"/>
      <c r="H555" s="5"/>
      <c r="I555" s="39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39"/>
      <c r="F556" s="5"/>
      <c r="G556" s="39"/>
      <c r="H556" s="5"/>
      <c r="I556" s="39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39"/>
      <c r="F557" s="5"/>
      <c r="G557" s="39"/>
      <c r="H557" s="5"/>
      <c r="I557" s="39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39"/>
      <c r="F558" s="5"/>
      <c r="G558" s="39"/>
      <c r="H558" s="5"/>
      <c r="I558" s="39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39"/>
      <c r="F559" s="5"/>
      <c r="G559" s="39"/>
      <c r="H559" s="5"/>
      <c r="I559" s="39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39"/>
      <c r="F560" s="5"/>
      <c r="G560" s="39"/>
      <c r="H560" s="5"/>
      <c r="I560" s="39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39"/>
      <c r="F561" s="5"/>
      <c r="G561" s="39"/>
      <c r="H561" s="5"/>
      <c r="I561" s="39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39"/>
      <c r="F562" s="5"/>
      <c r="G562" s="39"/>
      <c r="H562" s="5"/>
      <c r="I562" s="39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39"/>
      <c r="F563" s="5"/>
      <c r="G563" s="39"/>
      <c r="H563" s="5"/>
      <c r="I563" s="39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39"/>
      <c r="F564" s="5"/>
      <c r="G564" s="39"/>
      <c r="H564" s="5"/>
      <c r="I564" s="39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39"/>
      <c r="F565" s="5"/>
      <c r="G565" s="39"/>
      <c r="H565" s="5"/>
      <c r="I565" s="39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39"/>
      <c r="F566" s="5"/>
      <c r="G566" s="39"/>
      <c r="H566" s="5"/>
      <c r="I566" s="39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39"/>
      <c r="F567" s="5"/>
      <c r="G567" s="39"/>
      <c r="H567" s="5"/>
      <c r="I567" s="39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39"/>
      <c r="F568" s="5"/>
      <c r="G568" s="39"/>
      <c r="H568" s="5"/>
      <c r="I568" s="39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39"/>
      <c r="F569" s="5"/>
      <c r="G569" s="39"/>
      <c r="H569" s="5"/>
      <c r="I569" s="39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39"/>
      <c r="F570" s="5"/>
      <c r="G570" s="39"/>
      <c r="H570" s="5"/>
      <c r="I570" s="39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39"/>
      <c r="F571" s="5"/>
      <c r="G571" s="39"/>
      <c r="H571" s="5"/>
      <c r="I571" s="39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39"/>
      <c r="F572" s="5"/>
      <c r="G572" s="39"/>
      <c r="H572" s="5"/>
      <c r="I572" s="39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39"/>
      <c r="F573" s="5"/>
      <c r="G573" s="39"/>
      <c r="H573" s="5"/>
      <c r="I573" s="39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39"/>
      <c r="F574" s="5"/>
      <c r="G574" s="39"/>
      <c r="H574" s="5"/>
      <c r="I574" s="39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39"/>
      <c r="F575" s="5"/>
      <c r="G575" s="39"/>
      <c r="H575" s="5"/>
      <c r="I575" s="39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39"/>
      <c r="F576" s="5"/>
      <c r="G576" s="39"/>
      <c r="H576" s="5"/>
      <c r="I576" s="39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39"/>
      <c r="F577" s="5"/>
      <c r="G577" s="39"/>
      <c r="H577" s="5"/>
      <c r="I577" s="39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39"/>
      <c r="F578" s="5"/>
      <c r="G578" s="39"/>
      <c r="H578" s="5"/>
      <c r="I578" s="39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39"/>
      <c r="F579" s="5"/>
      <c r="G579" s="39"/>
      <c r="H579" s="5"/>
      <c r="I579" s="39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39"/>
      <c r="F580" s="5"/>
      <c r="G580" s="39"/>
      <c r="H580" s="5"/>
      <c r="I580" s="39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39"/>
      <c r="F581" s="5"/>
      <c r="G581" s="39"/>
      <c r="H581" s="5"/>
      <c r="I581" s="39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39"/>
      <c r="F582" s="5"/>
      <c r="G582" s="39"/>
      <c r="H582" s="5"/>
      <c r="I582" s="39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39"/>
      <c r="F583" s="5"/>
      <c r="G583" s="39"/>
      <c r="H583" s="5"/>
      <c r="I583" s="39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39"/>
      <c r="F584" s="5"/>
      <c r="G584" s="39"/>
      <c r="H584" s="5"/>
      <c r="I584" s="39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39"/>
      <c r="F585" s="5"/>
      <c r="G585" s="39"/>
      <c r="H585" s="5"/>
      <c r="I585" s="39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39"/>
      <c r="F586" s="5"/>
      <c r="G586" s="39"/>
      <c r="H586" s="5"/>
      <c r="I586" s="39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39"/>
      <c r="F587" s="5"/>
      <c r="G587" s="39"/>
      <c r="H587" s="5"/>
      <c r="I587" s="39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39"/>
      <c r="F588" s="5"/>
      <c r="G588" s="39"/>
      <c r="H588" s="5"/>
      <c r="I588" s="39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39"/>
      <c r="F589" s="5"/>
      <c r="G589" s="39"/>
      <c r="H589" s="5"/>
      <c r="I589" s="39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39"/>
      <c r="F590" s="5"/>
      <c r="G590" s="39"/>
      <c r="H590" s="5"/>
      <c r="I590" s="39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39"/>
      <c r="F591" s="5"/>
      <c r="G591" s="39"/>
      <c r="H591" s="5"/>
      <c r="I591" s="39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39"/>
      <c r="F592" s="5"/>
      <c r="G592" s="39"/>
      <c r="H592" s="5"/>
      <c r="I592" s="39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39"/>
      <c r="F593" s="5"/>
      <c r="G593" s="39"/>
      <c r="H593" s="5"/>
      <c r="I593" s="39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39"/>
      <c r="F594" s="5"/>
      <c r="G594" s="39"/>
      <c r="H594" s="5"/>
      <c r="I594" s="39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39"/>
      <c r="F595" s="5"/>
      <c r="G595" s="39"/>
      <c r="H595" s="5"/>
      <c r="I595" s="39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39"/>
      <c r="F596" s="5"/>
      <c r="G596" s="39"/>
      <c r="H596" s="5"/>
      <c r="I596" s="39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39"/>
      <c r="F597" s="5"/>
      <c r="G597" s="39"/>
      <c r="H597" s="5"/>
      <c r="I597" s="39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39"/>
      <c r="F598" s="5"/>
      <c r="G598" s="39"/>
      <c r="H598" s="5"/>
      <c r="I598" s="39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39"/>
      <c r="F599" s="5"/>
      <c r="G599" s="39"/>
      <c r="H599" s="5"/>
      <c r="I599" s="39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39"/>
      <c r="F600" s="5"/>
      <c r="G600" s="39"/>
      <c r="H600" s="5"/>
      <c r="I600" s="39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39"/>
      <c r="F601" s="5"/>
      <c r="G601" s="39"/>
      <c r="H601" s="5"/>
      <c r="I601" s="39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39"/>
      <c r="F602" s="5"/>
      <c r="G602" s="39"/>
      <c r="H602" s="5"/>
      <c r="I602" s="39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39"/>
      <c r="F603" s="5"/>
      <c r="G603" s="39"/>
      <c r="H603" s="5"/>
      <c r="I603" s="39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39"/>
      <c r="F604" s="5"/>
      <c r="G604" s="39"/>
      <c r="H604" s="5"/>
      <c r="I604" s="39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39"/>
      <c r="F605" s="5"/>
      <c r="G605" s="39"/>
      <c r="H605" s="5"/>
      <c r="I605" s="39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39"/>
      <c r="F606" s="5"/>
      <c r="G606" s="39"/>
      <c r="H606" s="5"/>
      <c r="I606" s="39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39"/>
      <c r="F607" s="5"/>
      <c r="G607" s="39"/>
      <c r="H607" s="5"/>
      <c r="I607" s="39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39"/>
      <c r="F608" s="5"/>
      <c r="G608" s="39"/>
      <c r="H608" s="5"/>
      <c r="I608" s="39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39"/>
      <c r="F609" s="5"/>
      <c r="G609" s="39"/>
      <c r="H609" s="5"/>
      <c r="I609" s="39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39"/>
      <c r="F610" s="5"/>
      <c r="G610" s="39"/>
      <c r="H610" s="5"/>
      <c r="I610" s="39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39"/>
      <c r="F611" s="5"/>
      <c r="G611" s="39"/>
      <c r="H611" s="5"/>
      <c r="I611" s="39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39"/>
      <c r="F612" s="5"/>
      <c r="G612" s="39"/>
      <c r="H612" s="5"/>
      <c r="I612" s="39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39"/>
      <c r="F613" s="5"/>
      <c r="G613" s="39"/>
      <c r="H613" s="5"/>
      <c r="I613" s="39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39"/>
      <c r="F614" s="5"/>
      <c r="G614" s="39"/>
      <c r="H614" s="5"/>
      <c r="I614" s="39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39"/>
      <c r="F615" s="5"/>
      <c r="G615" s="39"/>
      <c r="H615" s="5"/>
      <c r="I615" s="39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39"/>
      <c r="F616" s="5"/>
      <c r="G616" s="39"/>
      <c r="H616" s="5"/>
      <c r="I616" s="39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39"/>
      <c r="F617" s="5"/>
      <c r="G617" s="39"/>
      <c r="H617" s="5"/>
      <c r="I617" s="39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39"/>
      <c r="F618" s="5"/>
      <c r="G618" s="39"/>
      <c r="H618" s="5"/>
      <c r="I618" s="39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39"/>
      <c r="F619" s="5"/>
      <c r="G619" s="39"/>
      <c r="H619" s="5"/>
      <c r="I619" s="39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39"/>
      <c r="F620" s="5"/>
      <c r="G620" s="39"/>
      <c r="H620" s="5"/>
      <c r="I620" s="39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39"/>
      <c r="F621" s="5"/>
      <c r="G621" s="39"/>
      <c r="H621" s="5"/>
      <c r="I621" s="39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39"/>
      <c r="F622" s="5"/>
      <c r="G622" s="39"/>
      <c r="H622" s="5"/>
      <c r="I622" s="39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39"/>
      <c r="F623" s="5"/>
      <c r="G623" s="39"/>
      <c r="H623" s="5"/>
      <c r="I623" s="39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39"/>
      <c r="F624" s="5"/>
      <c r="G624" s="39"/>
      <c r="H624" s="5"/>
      <c r="I624" s="39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39"/>
      <c r="F625" s="5"/>
      <c r="G625" s="39"/>
      <c r="H625" s="5"/>
      <c r="I625" s="39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39"/>
      <c r="F626" s="5"/>
      <c r="G626" s="39"/>
      <c r="H626" s="5"/>
      <c r="I626" s="39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39"/>
      <c r="F627" s="5"/>
      <c r="G627" s="39"/>
      <c r="H627" s="5"/>
      <c r="I627" s="39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39"/>
      <c r="F628" s="5"/>
      <c r="G628" s="39"/>
      <c r="H628" s="5"/>
      <c r="I628" s="39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39"/>
      <c r="F629" s="5"/>
      <c r="G629" s="39"/>
      <c r="H629" s="5"/>
      <c r="I629" s="39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39"/>
      <c r="F630" s="5"/>
      <c r="G630" s="39"/>
      <c r="H630" s="5"/>
      <c r="I630" s="39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39"/>
      <c r="F631" s="5"/>
      <c r="G631" s="39"/>
      <c r="H631" s="5"/>
      <c r="I631" s="39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39"/>
      <c r="F632" s="5"/>
      <c r="G632" s="39"/>
      <c r="H632" s="5"/>
      <c r="I632" s="39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39"/>
      <c r="F633" s="5"/>
      <c r="G633" s="39"/>
      <c r="H633" s="5"/>
      <c r="I633" s="39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39"/>
      <c r="F634" s="5"/>
      <c r="G634" s="39"/>
      <c r="H634" s="5"/>
      <c r="I634" s="39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39"/>
      <c r="F635" s="5"/>
      <c r="G635" s="39"/>
      <c r="H635" s="5"/>
      <c r="I635" s="39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39"/>
      <c r="F636" s="5"/>
      <c r="G636" s="39"/>
      <c r="H636" s="5"/>
      <c r="I636" s="39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39"/>
      <c r="F637" s="5"/>
      <c r="G637" s="39"/>
      <c r="H637" s="5"/>
      <c r="I637" s="39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39"/>
      <c r="F638" s="5"/>
      <c r="G638" s="39"/>
      <c r="H638" s="5"/>
      <c r="I638" s="39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39"/>
      <c r="F639" s="5"/>
      <c r="G639" s="39"/>
      <c r="H639" s="5"/>
      <c r="I639" s="39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39"/>
      <c r="F640" s="5"/>
      <c r="G640" s="39"/>
      <c r="H640" s="5"/>
      <c r="I640" s="39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39"/>
      <c r="F641" s="5"/>
      <c r="G641" s="39"/>
      <c r="H641" s="5"/>
      <c r="I641" s="39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39"/>
      <c r="F642" s="5"/>
      <c r="G642" s="39"/>
      <c r="H642" s="5"/>
      <c r="I642" s="39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39"/>
      <c r="F643" s="5"/>
      <c r="G643" s="39"/>
      <c r="H643" s="5"/>
      <c r="I643" s="39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39"/>
      <c r="F644" s="5"/>
      <c r="G644" s="39"/>
      <c r="H644" s="5"/>
      <c r="I644" s="39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39"/>
      <c r="F645" s="5"/>
      <c r="G645" s="39"/>
      <c r="H645" s="5"/>
      <c r="I645" s="39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39"/>
      <c r="F646" s="5"/>
      <c r="G646" s="39"/>
      <c r="H646" s="5"/>
      <c r="I646" s="39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39"/>
      <c r="F647" s="5"/>
      <c r="G647" s="39"/>
      <c r="H647" s="5"/>
      <c r="I647" s="39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39"/>
      <c r="F648" s="5"/>
      <c r="G648" s="39"/>
      <c r="H648" s="5"/>
      <c r="I648" s="39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39"/>
      <c r="F649" s="5"/>
      <c r="G649" s="39"/>
      <c r="H649" s="5"/>
      <c r="I649" s="39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39"/>
      <c r="F650" s="5"/>
      <c r="G650" s="39"/>
      <c r="H650" s="5"/>
      <c r="I650" s="39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39"/>
      <c r="F651" s="5"/>
      <c r="G651" s="39"/>
      <c r="H651" s="5"/>
      <c r="I651" s="39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39"/>
      <c r="F652" s="5"/>
      <c r="G652" s="39"/>
      <c r="H652" s="5"/>
      <c r="I652" s="39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39"/>
      <c r="F653" s="5"/>
      <c r="G653" s="39"/>
      <c r="H653" s="5"/>
      <c r="I653" s="39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39"/>
      <c r="F654" s="5"/>
      <c r="G654" s="39"/>
      <c r="H654" s="5"/>
      <c r="I654" s="39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39"/>
      <c r="F655" s="5"/>
      <c r="G655" s="39"/>
      <c r="H655" s="5"/>
      <c r="I655" s="39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39"/>
      <c r="F656" s="5"/>
      <c r="G656" s="39"/>
      <c r="H656" s="5"/>
      <c r="I656" s="39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39"/>
      <c r="F657" s="5"/>
      <c r="G657" s="39"/>
      <c r="H657" s="5"/>
      <c r="I657" s="39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39"/>
      <c r="F658" s="5"/>
      <c r="G658" s="39"/>
      <c r="H658" s="5"/>
      <c r="I658" s="39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39"/>
      <c r="F659" s="5"/>
      <c r="G659" s="39"/>
      <c r="H659" s="5"/>
      <c r="I659" s="39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39"/>
      <c r="F660" s="5"/>
      <c r="G660" s="39"/>
      <c r="H660" s="5"/>
      <c r="I660" s="39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39"/>
      <c r="F661" s="5"/>
      <c r="G661" s="39"/>
      <c r="H661" s="5"/>
      <c r="I661" s="39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39"/>
      <c r="F662" s="5"/>
      <c r="G662" s="39"/>
      <c r="H662" s="5"/>
      <c r="I662" s="39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39"/>
      <c r="F663" s="5"/>
      <c r="G663" s="39"/>
      <c r="H663" s="5"/>
      <c r="I663" s="39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39"/>
      <c r="F664" s="5"/>
      <c r="G664" s="39"/>
      <c r="H664" s="5"/>
      <c r="I664" s="39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39"/>
      <c r="F665" s="5"/>
      <c r="G665" s="39"/>
      <c r="H665" s="5"/>
      <c r="I665" s="39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39"/>
      <c r="F666" s="5"/>
      <c r="G666" s="39"/>
      <c r="H666" s="5"/>
      <c r="I666" s="39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39"/>
      <c r="F667" s="5"/>
      <c r="G667" s="39"/>
      <c r="H667" s="5"/>
      <c r="I667" s="39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39"/>
      <c r="F668" s="5"/>
      <c r="G668" s="39"/>
      <c r="H668" s="5"/>
      <c r="I668" s="39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39"/>
      <c r="F669" s="5"/>
      <c r="G669" s="39"/>
      <c r="H669" s="5"/>
      <c r="I669" s="39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39"/>
      <c r="F670" s="5"/>
      <c r="G670" s="39"/>
      <c r="H670" s="5"/>
      <c r="I670" s="39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39"/>
      <c r="F671" s="5"/>
      <c r="G671" s="39"/>
      <c r="H671" s="5"/>
      <c r="I671" s="39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39"/>
      <c r="F672" s="5"/>
      <c r="G672" s="39"/>
      <c r="H672" s="5"/>
      <c r="I672" s="39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39"/>
      <c r="F673" s="5"/>
      <c r="G673" s="39"/>
      <c r="H673" s="5"/>
      <c r="I673" s="39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39"/>
      <c r="F674" s="5"/>
      <c r="G674" s="39"/>
      <c r="H674" s="5"/>
      <c r="I674" s="39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39"/>
      <c r="F675" s="5"/>
      <c r="G675" s="39"/>
      <c r="H675" s="5"/>
      <c r="I675" s="39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39"/>
      <c r="F676" s="5"/>
      <c r="G676" s="39"/>
      <c r="H676" s="5"/>
      <c r="I676" s="39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39"/>
      <c r="F677" s="5"/>
      <c r="G677" s="39"/>
      <c r="H677" s="5"/>
      <c r="I677" s="39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39"/>
      <c r="F678" s="5"/>
      <c r="G678" s="39"/>
      <c r="H678" s="5"/>
      <c r="I678" s="39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39"/>
      <c r="F679" s="5"/>
      <c r="G679" s="39"/>
      <c r="H679" s="5"/>
      <c r="I679" s="39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39"/>
      <c r="F680" s="5"/>
      <c r="G680" s="39"/>
      <c r="H680" s="5"/>
      <c r="I680" s="39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39"/>
      <c r="F681" s="5"/>
      <c r="G681" s="39"/>
      <c r="H681" s="5"/>
      <c r="I681" s="39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39"/>
      <c r="F682" s="5"/>
      <c r="G682" s="39"/>
      <c r="H682" s="5"/>
      <c r="I682" s="39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39"/>
      <c r="F683" s="5"/>
      <c r="G683" s="39"/>
      <c r="H683" s="5"/>
      <c r="I683" s="39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39"/>
      <c r="F684" s="5"/>
      <c r="G684" s="39"/>
      <c r="H684" s="5"/>
      <c r="I684" s="39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39"/>
      <c r="F685" s="5"/>
      <c r="G685" s="39"/>
      <c r="H685" s="5"/>
      <c r="I685" s="39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39"/>
      <c r="F686" s="5"/>
      <c r="G686" s="39"/>
      <c r="H686" s="5"/>
      <c r="I686" s="39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39"/>
      <c r="F687" s="5"/>
      <c r="G687" s="39"/>
      <c r="H687" s="5"/>
      <c r="I687" s="39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39"/>
      <c r="F688" s="5"/>
      <c r="G688" s="39"/>
      <c r="H688" s="5"/>
      <c r="I688" s="39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39"/>
      <c r="F689" s="5"/>
      <c r="G689" s="39"/>
      <c r="H689" s="5"/>
      <c r="I689" s="39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39"/>
      <c r="F690" s="5"/>
      <c r="G690" s="39"/>
      <c r="H690" s="5"/>
      <c r="I690" s="39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39"/>
      <c r="F691" s="5"/>
      <c r="G691" s="39"/>
      <c r="H691" s="5"/>
      <c r="I691" s="39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39"/>
      <c r="F692" s="5"/>
      <c r="G692" s="39"/>
      <c r="H692" s="5"/>
      <c r="I692" s="39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39"/>
      <c r="F693" s="5"/>
      <c r="G693" s="39"/>
      <c r="H693" s="5"/>
      <c r="I693" s="39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39"/>
      <c r="F694" s="5"/>
      <c r="G694" s="39"/>
      <c r="H694" s="5"/>
      <c r="I694" s="39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39"/>
      <c r="F695" s="5"/>
      <c r="G695" s="39"/>
      <c r="H695" s="5"/>
      <c r="I695" s="39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39"/>
      <c r="F696" s="5"/>
      <c r="G696" s="39"/>
      <c r="H696" s="5"/>
      <c r="I696" s="39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39"/>
      <c r="F697" s="5"/>
      <c r="G697" s="39"/>
      <c r="H697" s="5"/>
      <c r="I697" s="39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39"/>
      <c r="F698" s="5"/>
      <c r="G698" s="39"/>
      <c r="H698" s="5"/>
      <c r="I698" s="39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39"/>
      <c r="F699" s="5"/>
      <c r="G699" s="39"/>
      <c r="H699" s="5"/>
      <c r="I699" s="39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39"/>
      <c r="F700" s="5"/>
      <c r="G700" s="39"/>
      <c r="H700" s="5"/>
      <c r="I700" s="39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39"/>
      <c r="F701" s="5"/>
      <c r="G701" s="39"/>
      <c r="H701" s="5"/>
      <c r="I701" s="39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39"/>
      <c r="F702" s="5"/>
      <c r="G702" s="39"/>
      <c r="H702" s="5"/>
      <c r="I702" s="39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39"/>
      <c r="F703" s="5"/>
      <c r="G703" s="39"/>
      <c r="H703" s="5"/>
      <c r="I703" s="39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39"/>
      <c r="F704" s="5"/>
      <c r="G704" s="39"/>
      <c r="H704" s="5"/>
      <c r="I704" s="39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39"/>
      <c r="F705" s="5"/>
      <c r="G705" s="39"/>
      <c r="H705" s="5"/>
      <c r="I705" s="39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39"/>
      <c r="F706" s="5"/>
      <c r="G706" s="39"/>
      <c r="H706" s="5"/>
      <c r="I706" s="39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39"/>
      <c r="F707" s="5"/>
      <c r="G707" s="39"/>
      <c r="H707" s="5"/>
      <c r="I707" s="39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39"/>
      <c r="F708" s="5"/>
      <c r="G708" s="39"/>
      <c r="H708" s="5"/>
      <c r="I708" s="39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39"/>
      <c r="F709" s="5"/>
      <c r="G709" s="39"/>
      <c r="H709" s="5"/>
      <c r="I709" s="39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39"/>
      <c r="F710" s="5"/>
      <c r="G710" s="39"/>
      <c r="H710" s="5"/>
      <c r="I710" s="39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39"/>
      <c r="F711" s="5"/>
      <c r="G711" s="39"/>
      <c r="H711" s="5"/>
      <c r="I711" s="39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39"/>
      <c r="F712" s="5"/>
      <c r="G712" s="39"/>
      <c r="H712" s="5"/>
      <c r="I712" s="39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39"/>
      <c r="F713" s="5"/>
      <c r="G713" s="39"/>
      <c r="H713" s="5"/>
      <c r="I713" s="39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39"/>
      <c r="F714" s="5"/>
      <c r="G714" s="39"/>
      <c r="H714" s="5"/>
      <c r="I714" s="39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39"/>
      <c r="F715" s="5"/>
      <c r="G715" s="39"/>
      <c r="H715" s="5"/>
      <c r="I715" s="39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39"/>
      <c r="F716" s="5"/>
      <c r="G716" s="39"/>
      <c r="H716" s="5"/>
      <c r="I716" s="39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39"/>
      <c r="F717" s="5"/>
      <c r="G717" s="39"/>
      <c r="H717" s="5"/>
      <c r="I717" s="39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39"/>
      <c r="F718" s="5"/>
      <c r="G718" s="39"/>
      <c r="H718" s="5"/>
      <c r="I718" s="39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39"/>
      <c r="F719" s="5"/>
      <c r="G719" s="39"/>
      <c r="H719" s="5"/>
      <c r="I719" s="39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39"/>
      <c r="F720" s="5"/>
      <c r="G720" s="39"/>
      <c r="H720" s="5"/>
      <c r="I720" s="39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39"/>
      <c r="F721" s="5"/>
      <c r="G721" s="39"/>
      <c r="H721" s="5"/>
      <c r="I721" s="39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39"/>
      <c r="F722" s="5"/>
      <c r="G722" s="39"/>
      <c r="H722" s="5"/>
      <c r="I722" s="39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39"/>
      <c r="F723" s="5"/>
      <c r="G723" s="39"/>
      <c r="H723" s="5"/>
      <c r="I723" s="39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39"/>
      <c r="F724" s="5"/>
      <c r="G724" s="39"/>
      <c r="H724" s="5"/>
      <c r="I724" s="39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39"/>
      <c r="F725" s="5"/>
      <c r="G725" s="39"/>
      <c r="H725" s="5"/>
      <c r="I725" s="39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39"/>
      <c r="F726" s="5"/>
      <c r="G726" s="39"/>
      <c r="H726" s="5"/>
      <c r="I726" s="39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39"/>
      <c r="F727" s="5"/>
      <c r="G727" s="39"/>
      <c r="H727" s="5"/>
      <c r="I727" s="39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39"/>
      <c r="F728" s="5"/>
      <c r="G728" s="39"/>
      <c r="H728" s="5"/>
      <c r="I728" s="39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39"/>
      <c r="F729" s="5"/>
      <c r="G729" s="39"/>
      <c r="H729" s="5"/>
      <c r="I729" s="39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39"/>
      <c r="F730" s="5"/>
      <c r="G730" s="39"/>
      <c r="H730" s="5"/>
      <c r="I730" s="39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39"/>
      <c r="F731" s="5"/>
      <c r="G731" s="39"/>
      <c r="H731" s="5"/>
      <c r="I731" s="39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39"/>
      <c r="F732" s="5"/>
      <c r="G732" s="39"/>
      <c r="H732" s="5"/>
      <c r="I732" s="39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39"/>
      <c r="F733" s="5"/>
      <c r="G733" s="39"/>
      <c r="H733" s="5"/>
      <c r="I733" s="39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39"/>
      <c r="F734" s="5"/>
      <c r="G734" s="39"/>
      <c r="H734" s="5"/>
      <c r="I734" s="39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39"/>
      <c r="F735" s="5"/>
      <c r="G735" s="39"/>
      <c r="H735" s="5"/>
      <c r="I735" s="39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39"/>
      <c r="F736" s="5"/>
      <c r="G736" s="39"/>
      <c r="H736" s="5"/>
      <c r="I736" s="39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39"/>
      <c r="F737" s="5"/>
      <c r="G737" s="39"/>
      <c r="H737" s="5"/>
      <c r="I737" s="39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39"/>
      <c r="F738" s="5"/>
      <c r="G738" s="39"/>
      <c r="H738" s="5"/>
      <c r="I738" s="39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39"/>
      <c r="F739" s="5"/>
      <c r="G739" s="39"/>
      <c r="H739" s="5"/>
      <c r="I739" s="39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39"/>
      <c r="F740" s="5"/>
      <c r="G740" s="39"/>
      <c r="H740" s="5"/>
      <c r="I740" s="39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39"/>
      <c r="F741" s="5"/>
      <c r="G741" s="39"/>
      <c r="H741" s="5"/>
      <c r="I741" s="39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39"/>
      <c r="F742" s="5"/>
      <c r="G742" s="39"/>
      <c r="H742" s="5"/>
      <c r="I742" s="39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39"/>
      <c r="F743" s="5"/>
      <c r="G743" s="39"/>
      <c r="H743" s="5"/>
      <c r="I743" s="39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39"/>
      <c r="F744" s="5"/>
      <c r="G744" s="39"/>
      <c r="H744" s="5"/>
      <c r="I744" s="39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39"/>
      <c r="F745" s="5"/>
      <c r="G745" s="39"/>
      <c r="H745" s="5"/>
      <c r="I745" s="39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39"/>
      <c r="F746" s="5"/>
      <c r="G746" s="39"/>
      <c r="H746" s="5"/>
      <c r="I746" s="39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39"/>
      <c r="F747" s="5"/>
      <c r="G747" s="39"/>
      <c r="H747" s="5"/>
      <c r="I747" s="39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39"/>
      <c r="F748" s="5"/>
      <c r="G748" s="39"/>
      <c r="H748" s="5"/>
      <c r="I748" s="39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39"/>
      <c r="F749" s="5"/>
      <c r="G749" s="39"/>
      <c r="H749" s="5"/>
      <c r="I749" s="39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39"/>
      <c r="F750" s="5"/>
      <c r="G750" s="39"/>
      <c r="H750" s="5"/>
      <c r="I750" s="39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39"/>
      <c r="F751" s="5"/>
      <c r="G751" s="39"/>
      <c r="H751" s="5"/>
      <c r="I751" s="39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39"/>
      <c r="F752" s="5"/>
      <c r="G752" s="39"/>
      <c r="H752" s="5"/>
      <c r="I752" s="39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39"/>
      <c r="F753" s="5"/>
      <c r="G753" s="39"/>
      <c r="H753" s="5"/>
      <c r="I753" s="39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39"/>
      <c r="F754" s="5"/>
      <c r="G754" s="39"/>
      <c r="H754" s="5"/>
      <c r="I754" s="39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39"/>
      <c r="F755" s="5"/>
      <c r="G755" s="39"/>
      <c r="H755" s="5"/>
      <c r="I755" s="39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39"/>
      <c r="F756" s="5"/>
      <c r="G756" s="39"/>
      <c r="H756" s="5"/>
      <c r="I756" s="39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39"/>
      <c r="F757" s="5"/>
      <c r="G757" s="39"/>
      <c r="H757" s="5"/>
      <c r="I757" s="39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39"/>
      <c r="F758" s="5"/>
      <c r="G758" s="39"/>
      <c r="H758" s="5"/>
      <c r="I758" s="39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39"/>
      <c r="F759" s="5"/>
      <c r="G759" s="39"/>
      <c r="H759" s="5"/>
      <c r="I759" s="39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39"/>
      <c r="F760" s="5"/>
      <c r="G760" s="39"/>
      <c r="H760" s="5"/>
      <c r="I760" s="39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39"/>
      <c r="F761" s="5"/>
      <c r="G761" s="39"/>
      <c r="H761" s="5"/>
      <c r="I761" s="39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39"/>
      <c r="F762" s="5"/>
      <c r="G762" s="39"/>
      <c r="H762" s="5"/>
      <c r="I762" s="39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39"/>
      <c r="F763" s="5"/>
      <c r="G763" s="39"/>
      <c r="H763" s="5"/>
      <c r="I763" s="39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39"/>
      <c r="F764" s="5"/>
      <c r="G764" s="39"/>
      <c r="H764" s="5"/>
      <c r="I764" s="39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39"/>
      <c r="F765" s="5"/>
      <c r="G765" s="39"/>
      <c r="H765" s="5"/>
      <c r="I765" s="39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39"/>
      <c r="F766" s="5"/>
      <c r="G766" s="39"/>
      <c r="H766" s="5"/>
      <c r="I766" s="39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39"/>
      <c r="F767" s="5"/>
      <c r="G767" s="39"/>
      <c r="H767" s="5"/>
      <c r="I767" s="39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39"/>
      <c r="F768" s="5"/>
      <c r="G768" s="39"/>
      <c r="H768" s="5"/>
      <c r="I768" s="39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39"/>
      <c r="F769" s="5"/>
      <c r="G769" s="39"/>
      <c r="H769" s="5"/>
      <c r="I769" s="39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39"/>
      <c r="F770" s="5"/>
      <c r="G770" s="39"/>
      <c r="H770" s="5"/>
      <c r="I770" s="39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39"/>
      <c r="F771" s="5"/>
      <c r="G771" s="39"/>
      <c r="H771" s="5"/>
      <c r="I771" s="39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39"/>
      <c r="F772" s="5"/>
      <c r="G772" s="39"/>
      <c r="H772" s="5"/>
      <c r="I772" s="39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39"/>
      <c r="F773" s="5"/>
      <c r="G773" s="39"/>
      <c r="H773" s="5"/>
      <c r="I773" s="39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39"/>
      <c r="F774" s="5"/>
      <c r="G774" s="39"/>
      <c r="H774" s="5"/>
      <c r="I774" s="39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39"/>
      <c r="F775" s="5"/>
      <c r="G775" s="39"/>
      <c r="H775" s="5"/>
      <c r="I775" s="39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39"/>
      <c r="F776" s="5"/>
      <c r="G776" s="39"/>
      <c r="H776" s="5"/>
      <c r="I776" s="39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39"/>
      <c r="F777" s="5"/>
      <c r="G777" s="39"/>
      <c r="H777" s="5"/>
      <c r="I777" s="39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39"/>
      <c r="F778" s="5"/>
      <c r="G778" s="39"/>
      <c r="H778" s="5"/>
      <c r="I778" s="39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39"/>
      <c r="F779" s="5"/>
      <c r="G779" s="39"/>
      <c r="H779" s="5"/>
      <c r="I779" s="39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39"/>
      <c r="F780" s="5"/>
      <c r="G780" s="39"/>
      <c r="H780" s="5"/>
      <c r="I780" s="39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39"/>
      <c r="F781" s="5"/>
      <c r="G781" s="39"/>
      <c r="H781" s="5"/>
      <c r="I781" s="39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39"/>
      <c r="F782" s="5"/>
      <c r="G782" s="39"/>
      <c r="H782" s="5"/>
      <c r="I782" s="39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39"/>
      <c r="F783" s="5"/>
      <c r="G783" s="39"/>
      <c r="H783" s="5"/>
      <c r="I783" s="39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39"/>
      <c r="F784" s="5"/>
      <c r="G784" s="39"/>
      <c r="H784" s="5"/>
      <c r="I784" s="39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39"/>
      <c r="F785" s="5"/>
      <c r="G785" s="39"/>
      <c r="H785" s="5"/>
      <c r="I785" s="39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39"/>
      <c r="F786" s="5"/>
      <c r="G786" s="39"/>
      <c r="H786" s="5"/>
      <c r="I786" s="39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39"/>
      <c r="F787" s="5"/>
      <c r="G787" s="39"/>
      <c r="H787" s="5"/>
      <c r="I787" s="39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39"/>
      <c r="F788" s="5"/>
      <c r="G788" s="39"/>
      <c r="H788" s="5"/>
      <c r="I788" s="39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39"/>
      <c r="F789" s="5"/>
      <c r="G789" s="39"/>
      <c r="H789" s="5"/>
      <c r="I789" s="39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39"/>
      <c r="F790" s="5"/>
      <c r="G790" s="39"/>
      <c r="H790" s="5"/>
      <c r="I790" s="39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39"/>
      <c r="F791" s="5"/>
      <c r="G791" s="39"/>
      <c r="H791" s="5"/>
      <c r="I791" s="39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39"/>
      <c r="F792" s="5"/>
      <c r="G792" s="39"/>
      <c r="H792" s="5"/>
      <c r="I792" s="39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39"/>
      <c r="F793" s="5"/>
      <c r="G793" s="39"/>
      <c r="H793" s="5"/>
      <c r="I793" s="39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39"/>
      <c r="F794" s="5"/>
      <c r="G794" s="39"/>
      <c r="H794" s="5"/>
      <c r="I794" s="39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39"/>
      <c r="F795" s="5"/>
      <c r="G795" s="39"/>
      <c r="H795" s="5"/>
      <c r="I795" s="39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39"/>
      <c r="F796" s="5"/>
      <c r="G796" s="39"/>
      <c r="H796" s="5"/>
      <c r="I796" s="39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39"/>
      <c r="F797" s="5"/>
      <c r="G797" s="39"/>
      <c r="H797" s="5"/>
      <c r="I797" s="39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39"/>
      <c r="F798" s="5"/>
      <c r="G798" s="39"/>
      <c r="H798" s="5"/>
      <c r="I798" s="39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39"/>
      <c r="F799" s="5"/>
      <c r="G799" s="39"/>
      <c r="H799" s="5"/>
      <c r="I799" s="39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39"/>
      <c r="F800" s="5"/>
      <c r="G800" s="39"/>
      <c r="H800" s="5"/>
      <c r="I800" s="39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39"/>
      <c r="F801" s="5"/>
      <c r="G801" s="39"/>
      <c r="H801" s="5"/>
      <c r="I801" s="39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39"/>
      <c r="F802" s="5"/>
      <c r="G802" s="39"/>
      <c r="H802" s="5"/>
      <c r="I802" s="39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39"/>
      <c r="F803" s="5"/>
      <c r="G803" s="39"/>
      <c r="H803" s="5"/>
      <c r="I803" s="39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39"/>
      <c r="F804" s="5"/>
      <c r="G804" s="39"/>
      <c r="H804" s="5"/>
      <c r="I804" s="39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39"/>
      <c r="F805" s="5"/>
      <c r="G805" s="39"/>
      <c r="H805" s="5"/>
      <c r="I805" s="39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39"/>
      <c r="F806" s="5"/>
      <c r="G806" s="39"/>
      <c r="H806" s="5"/>
      <c r="I806" s="39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39"/>
      <c r="F807" s="5"/>
      <c r="G807" s="39"/>
      <c r="H807" s="5"/>
      <c r="I807" s="39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39"/>
      <c r="F808" s="5"/>
      <c r="G808" s="39"/>
      <c r="H808" s="5"/>
      <c r="I808" s="39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39"/>
      <c r="F809" s="5"/>
      <c r="G809" s="39"/>
      <c r="H809" s="5"/>
      <c r="I809" s="39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39"/>
      <c r="F810" s="5"/>
      <c r="G810" s="39"/>
      <c r="H810" s="5"/>
      <c r="I810" s="39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39"/>
      <c r="F811" s="5"/>
      <c r="G811" s="39"/>
      <c r="H811" s="5"/>
      <c r="I811" s="39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39"/>
      <c r="F812" s="5"/>
      <c r="G812" s="39"/>
      <c r="H812" s="5"/>
      <c r="I812" s="39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39"/>
      <c r="F813" s="5"/>
      <c r="G813" s="39"/>
      <c r="H813" s="5"/>
      <c r="I813" s="39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39"/>
      <c r="F814" s="5"/>
      <c r="G814" s="39"/>
      <c r="H814" s="5"/>
      <c r="I814" s="39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39"/>
      <c r="F815" s="5"/>
      <c r="G815" s="39"/>
      <c r="H815" s="5"/>
      <c r="I815" s="39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39"/>
      <c r="F816" s="5"/>
      <c r="G816" s="39"/>
      <c r="H816" s="5"/>
      <c r="I816" s="39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39"/>
      <c r="F817" s="5"/>
      <c r="G817" s="39"/>
      <c r="H817" s="5"/>
      <c r="I817" s="39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39"/>
      <c r="F818" s="5"/>
      <c r="G818" s="39"/>
      <c r="H818" s="5"/>
      <c r="I818" s="39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39"/>
      <c r="F819" s="5"/>
      <c r="G819" s="39"/>
      <c r="H819" s="5"/>
      <c r="I819" s="39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39"/>
      <c r="F820" s="5"/>
      <c r="G820" s="39"/>
      <c r="H820" s="5"/>
      <c r="I820" s="39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39"/>
      <c r="F821" s="5"/>
      <c r="G821" s="39"/>
      <c r="H821" s="5"/>
      <c r="I821" s="39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39"/>
      <c r="F822" s="5"/>
      <c r="G822" s="39"/>
      <c r="H822" s="5"/>
      <c r="I822" s="39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39"/>
      <c r="F823" s="5"/>
      <c r="G823" s="39"/>
      <c r="H823" s="5"/>
      <c r="I823" s="39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39"/>
      <c r="F824" s="5"/>
      <c r="G824" s="39"/>
      <c r="H824" s="5"/>
      <c r="I824" s="39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39"/>
      <c r="F825" s="5"/>
      <c r="G825" s="39"/>
      <c r="H825" s="5"/>
      <c r="I825" s="39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39"/>
      <c r="F826" s="5"/>
      <c r="G826" s="39"/>
      <c r="H826" s="5"/>
      <c r="I826" s="39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39"/>
      <c r="F827" s="5"/>
      <c r="G827" s="39"/>
      <c r="H827" s="5"/>
      <c r="I827" s="39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39"/>
      <c r="F828" s="5"/>
      <c r="G828" s="39"/>
      <c r="H828" s="5"/>
      <c r="I828" s="39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39"/>
      <c r="F829" s="5"/>
      <c r="G829" s="39"/>
      <c r="H829" s="5"/>
      <c r="I829" s="39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39"/>
      <c r="F830" s="5"/>
      <c r="G830" s="39"/>
      <c r="H830" s="5"/>
      <c r="I830" s="39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39"/>
      <c r="F831" s="5"/>
      <c r="G831" s="39"/>
      <c r="H831" s="5"/>
      <c r="I831" s="39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39"/>
      <c r="F832" s="5"/>
      <c r="G832" s="39"/>
      <c r="H832" s="5"/>
      <c r="I832" s="39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39"/>
      <c r="F833" s="5"/>
      <c r="G833" s="39"/>
      <c r="H833" s="5"/>
      <c r="I833" s="39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39"/>
      <c r="F834" s="5"/>
      <c r="G834" s="39"/>
      <c r="H834" s="5"/>
      <c r="I834" s="39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39"/>
      <c r="F835" s="5"/>
      <c r="G835" s="39"/>
      <c r="H835" s="5"/>
      <c r="I835" s="39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39"/>
      <c r="F836" s="5"/>
      <c r="G836" s="39"/>
      <c r="H836" s="5"/>
      <c r="I836" s="39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39"/>
      <c r="F837" s="5"/>
      <c r="G837" s="39"/>
      <c r="H837" s="5"/>
      <c r="I837" s="39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39"/>
      <c r="F838" s="5"/>
      <c r="G838" s="39"/>
      <c r="H838" s="5"/>
      <c r="I838" s="39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39"/>
      <c r="F839" s="5"/>
      <c r="G839" s="39"/>
      <c r="H839" s="5"/>
      <c r="I839" s="39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39"/>
      <c r="F840" s="5"/>
      <c r="G840" s="39"/>
      <c r="H840" s="5"/>
      <c r="I840" s="39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39"/>
      <c r="F841" s="5"/>
      <c r="G841" s="39"/>
      <c r="H841" s="5"/>
      <c r="I841" s="39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39"/>
      <c r="F842" s="5"/>
      <c r="G842" s="39"/>
      <c r="H842" s="5"/>
      <c r="I842" s="39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39"/>
      <c r="F843" s="5"/>
      <c r="G843" s="39"/>
      <c r="H843" s="5"/>
      <c r="I843" s="39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39"/>
      <c r="F844" s="5"/>
      <c r="G844" s="39"/>
      <c r="H844" s="5"/>
      <c r="I844" s="39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39"/>
      <c r="F845" s="5"/>
      <c r="G845" s="39"/>
      <c r="H845" s="5"/>
      <c r="I845" s="39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39"/>
      <c r="F846" s="5"/>
      <c r="G846" s="39"/>
      <c r="H846" s="5"/>
      <c r="I846" s="39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39"/>
      <c r="F847" s="5"/>
      <c r="G847" s="39"/>
      <c r="H847" s="5"/>
      <c r="I847" s="39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39"/>
      <c r="F848" s="5"/>
      <c r="G848" s="39"/>
      <c r="H848" s="5"/>
      <c r="I848" s="39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39"/>
      <c r="F849" s="5"/>
      <c r="G849" s="39"/>
      <c r="H849" s="5"/>
      <c r="I849" s="39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39"/>
      <c r="F850" s="5"/>
      <c r="G850" s="39"/>
      <c r="H850" s="5"/>
      <c r="I850" s="39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39"/>
      <c r="F851" s="5"/>
      <c r="G851" s="39"/>
      <c r="H851" s="5"/>
      <c r="I851" s="39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39"/>
      <c r="F852" s="5"/>
      <c r="G852" s="39"/>
      <c r="H852" s="5"/>
      <c r="I852" s="39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39"/>
      <c r="F853" s="5"/>
      <c r="G853" s="39"/>
      <c r="H853" s="5"/>
      <c r="I853" s="39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39"/>
      <c r="F854" s="5"/>
      <c r="G854" s="39"/>
      <c r="H854" s="5"/>
      <c r="I854" s="39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39"/>
      <c r="F855" s="5"/>
      <c r="G855" s="39"/>
      <c r="H855" s="5"/>
      <c r="I855" s="39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39"/>
      <c r="F856" s="5"/>
      <c r="G856" s="39"/>
      <c r="H856" s="5"/>
      <c r="I856" s="39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39"/>
      <c r="F857" s="5"/>
      <c r="G857" s="39"/>
      <c r="H857" s="5"/>
      <c r="I857" s="39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39"/>
      <c r="F858" s="5"/>
      <c r="G858" s="39"/>
      <c r="H858" s="5"/>
      <c r="I858" s="39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39"/>
      <c r="F859" s="5"/>
      <c r="G859" s="39"/>
      <c r="H859" s="5"/>
      <c r="I859" s="39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39"/>
      <c r="F860" s="5"/>
      <c r="G860" s="39"/>
      <c r="H860" s="5"/>
      <c r="I860" s="39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39"/>
      <c r="F861" s="5"/>
      <c r="G861" s="39"/>
      <c r="H861" s="5"/>
      <c r="I861" s="39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39"/>
      <c r="F862" s="5"/>
      <c r="G862" s="39"/>
      <c r="H862" s="5"/>
      <c r="I862" s="39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39"/>
      <c r="F863" s="5"/>
      <c r="G863" s="39"/>
      <c r="H863" s="5"/>
      <c r="I863" s="39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39"/>
      <c r="F864" s="5"/>
      <c r="G864" s="39"/>
      <c r="H864" s="5"/>
      <c r="I864" s="39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39"/>
      <c r="F865" s="5"/>
      <c r="G865" s="39"/>
      <c r="H865" s="5"/>
      <c r="I865" s="39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39"/>
      <c r="F866" s="5"/>
      <c r="G866" s="39"/>
      <c r="H866" s="5"/>
      <c r="I866" s="39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39"/>
      <c r="F867" s="5"/>
      <c r="G867" s="39"/>
      <c r="H867" s="5"/>
      <c r="I867" s="39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39"/>
      <c r="F868" s="5"/>
      <c r="G868" s="39"/>
      <c r="H868" s="5"/>
      <c r="I868" s="39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39"/>
      <c r="F869" s="5"/>
      <c r="G869" s="39"/>
      <c r="H869" s="5"/>
      <c r="I869" s="39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39"/>
      <c r="F870" s="5"/>
      <c r="G870" s="39"/>
      <c r="H870" s="5"/>
      <c r="I870" s="39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39"/>
      <c r="F871" s="5"/>
      <c r="G871" s="39"/>
      <c r="H871" s="5"/>
      <c r="I871" s="39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39"/>
      <c r="F872" s="5"/>
      <c r="G872" s="39"/>
      <c r="H872" s="5"/>
      <c r="I872" s="39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39"/>
      <c r="F873" s="5"/>
      <c r="G873" s="39"/>
      <c r="H873" s="5"/>
      <c r="I873" s="39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39"/>
      <c r="F874" s="5"/>
      <c r="G874" s="39"/>
      <c r="H874" s="5"/>
      <c r="I874" s="39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39"/>
      <c r="F875" s="5"/>
      <c r="G875" s="39"/>
      <c r="H875" s="5"/>
      <c r="I875" s="39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39"/>
      <c r="F876" s="5"/>
      <c r="G876" s="39"/>
      <c r="H876" s="5"/>
      <c r="I876" s="39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39"/>
      <c r="F877" s="5"/>
      <c r="G877" s="39"/>
      <c r="H877" s="5"/>
      <c r="I877" s="39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39"/>
      <c r="F878" s="5"/>
      <c r="G878" s="39"/>
      <c r="H878" s="5"/>
      <c r="I878" s="39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39"/>
      <c r="F879" s="5"/>
      <c r="G879" s="39"/>
      <c r="H879" s="5"/>
      <c r="I879" s="39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39"/>
      <c r="F880" s="5"/>
      <c r="G880" s="39"/>
      <c r="H880" s="5"/>
      <c r="I880" s="39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39"/>
      <c r="F881" s="5"/>
      <c r="G881" s="39"/>
      <c r="H881" s="5"/>
      <c r="I881" s="39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39"/>
      <c r="F882" s="5"/>
      <c r="G882" s="39"/>
      <c r="H882" s="5"/>
      <c r="I882" s="39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39"/>
      <c r="F883" s="5"/>
      <c r="G883" s="39"/>
      <c r="H883" s="5"/>
      <c r="I883" s="39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39"/>
      <c r="F884" s="5"/>
      <c r="G884" s="39"/>
      <c r="H884" s="5"/>
      <c r="I884" s="39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39"/>
      <c r="F885" s="5"/>
      <c r="G885" s="39"/>
      <c r="H885" s="5"/>
      <c r="I885" s="39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39"/>
      <c r="F886" s="5"/>
      <c r="G886" s="39"/>
      <c r="H886" s="5"/>
      <c r="I886" s="39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39"/>
      <c r="F887" s="5"/>
      <c r="G887" s="39"/>
      <c r="H887" s="5"/>
      <c r="I887" s="39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39"/>
      <c r="F888" s="5"/>
      <c r="G888" s="39"/>
      <c r="H888" s="5"/>
      <c r="I888" s="39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39"/>
      <c r="F889" s="5"/>
      <c r="G889" s="39"/>
      <c r="H889" s="5"/>
      <c r="I889" s="39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39"/>
      <c r="F890" s="5"/>
      <c r="G890" s="39"/>
      <c r="H890" s="5"/>
      <c r="I890" s="39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39"/>
      <c r="F891" s="5"/>
      <c r="G891" s="39"/>
      <c r="H891" s="5"/>
      <c r="I891" s="39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39"/>
      <c r="F892" s="5"/>
      <c r="G892" s="39"/>
      <c r="H892" s="5"/>
      <c r="I892" s="39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39"/>
      <c r="F893" s="5"/>
      <c r="G893" s="39"/>
      <c r="H893" s="5"/>
      <c r="I893" s="39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39"/>
      <c r="F894" s="5"/>
      <c r="G894" s="39"/>
      <c r="H894" s="5"/>
      <c r="I894" s="39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39"/>
      <c r="F895" s="5"/>
      <c r="G895" s="39"/>
      <c r="H895" s="5"/>
      <c r="I895" s="39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39"/>
      <c r="F896" s="5"/>
      <c r="G896" s="39"/>
      <c r="H896" s="5"/>
      <c r="I896" s="39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39"/>
      <c r="F897" s="5"/>
      <c r="G897" s="39"/>
      <c r="H897" s="5"/>
      <c r="I897" s="39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39"/>
      <c r="F898" s="5"/>
      <c r="G898" s="39"/>
      <c r="H898" s="5"/>
      <c r="I898" s="39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39"/>
      <c r="F899" s="5"/>
      <c r="G899" s="39"/>
      <c r="H899" s="5"/>
      <c r="I899" s="39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39"/>
      <c r="F900" s="5"/>
      <c r="G900" s="39"/>
      <c r="H900" s="5"/>
      <c r="I900" s="39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39"/>
      <c r="F901" s="5"/>
      <c r="G901" s="39"/>
      <c r="H901" s="5"/>
      <c r="I901" s="39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39"/>
      <c r="F902" s="5"/>
      <c r="G902" s="39"/>
      <c r="H902" s="5"/>
      <c r="I902" s="39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39"/>
      <c r="F903" s="5"/>
      <c r="G903" s="39"/>
      <c r="H903" s="5"/>
      <c r="I903" s="39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39"/>
      <c r="F904" s="5"/>
      <c r="G904" s="39"/>
      <c r="H904" s="5"/>
      <c r="I904" s="39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39"/>
      <c r="F905" s="5"/>
      <c r="G905" s="39"/>
      <c r="H905" s="5"/>
      <c r="I905" s="39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39"/>
      <c r="F906" s="5"/>
      <c r="G906" s="39"/>
      <c r="H906" s="5"/>
      <c r="I906" s="39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39"/>
      <c r="F907" s="5"/>
      <c r="G907" s="39"/>
      <c r="H907" s="5"/>
      <c r="I907" s="39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39"/>
      <c r="F908" s="5"/>
      <c r="G908" s="39"/>
      <c r="H908" s="5"/>
      <c r="I908" s="39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39"/>
      <c r="F909" s="5"/>
      <c r="G909" s="39"/>
      <c r="H909" s="5"/>
      <c r="I909" s="39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39"/>
      <c r="F910" s="5"/>
      <c r="G910" s="39"/>
      <c r="H910" s="5"/>
      <c r="I910" s="39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39"/>
      <c r="F911" s="5"/>
      <c r="G911" s="39"/>
      <c r="H911" s="5"/>
      <c r="I911" s="39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39"/>
      <c r="F912" s="5"/>
      <c r="G912" s="39"/>
      <c r="H912" s="5"/>
      <c r="I912" s="39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39"/>
      <c r="F913" s="5"/>
      <c r="G913" s="39"/>
      <c r="H913" s="5"/>
      <c r="I913" s="39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39"/>
      <c r="F914" s="5"/>
      <c r="G914" s="39"/>
      <c r="H914" s="5"/>
      <c r="I914" s="39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39"/>
      <c r="F915" s="5"/>
      <c r="G915" s="39"/>
      <c r="H915" s="5"/>
      <c r="I915" s="39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39"/>
      <c r="F916" s="5"/>
      <c r="G916" s="39"/>
      <c r="H916" s="5"/>
      <c r="I916" s="39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39"/>
      <c r="F917" s="5"/>
      <c r="G917" s="39"/>
      <c r="H917" s="5"/>
      <c r="I917" s="39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39"/>
      <c r="F918" s="5"/>
      <c r="G918" s="39"/>
      <c r="H918" s="5"/>
      <c r="I918" s="39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39"/>
      <c r="F919" s="5"/>
      <c r="G919" s="39"/>
      <c r="H919" s="5"/>
      <c r="I919" s="39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39"/>
      <c r="F920" s="5"/>
      <c r="G920" s="39"/>
      <c r="H920" s="5"/>
      <c r="I920" s="39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39"/>
      <c r="F921" s="5"/>
      <c r="G921" s="39"/>
      <c r="H921" s="5"/>
      <c r="I921" s="39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39"/>
      <c r="F922" s="5"/>
      <c r="G922" s="39"/>
      <c r="H922" s="5"/>
      <c r="I922" s="39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39"/>
      <c r="F923" s="5"/>
      <c r="G923" s="39"/>
      <c r="H923" s="5"/>
      <c r="I923" s="39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39"/>
      <c r="F924" s="5"/>
      <c r="G924" s="39"/>
      <c r="H924" s="5"/>
      <c r="I924" s="39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39"/>
      <c r="F925" s="5"/>
      <c r="G925" s="39"/>
      <c r="H925" s="5"/>
      <c r="I925" s="39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39"/>
      <c r="F926" s="5"/>
      <c r="G926" s="39"/>
      <c r="H926" s="5"/>
      <c r="I926" s="39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39"/>
      <c r="F927" s="5"/>
      <c r="G927" s="39"/>
      <c r="H927" s="5"/>
      <c r="I927" s="39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39"/>
      <c r="F928" s="5"/>
      <c r="G928" s="39"/>
      <c r="H928" s="5"/>
      <c r="I928" s="39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39"/>
      <c r="F929" s="5"/>
      <c r="G929" s="39"/>
      <c r="H929" s="5"/>
      <c r="I929" s="39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39"/>
      <c r="F930" s="5"/>
      <c r="G930" s="39"/>
      <c r="H930" s="5"/>
      <c r="I930" s="39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39"/>
      <c r="F931" s="5"/>
      <c r="G931" s="39"/>
      <c r="H931" s="5"/>
      <c r="I931" s="39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39"/>
      <c r="F932" s="5"/>
      <c r="G932" s="39"/>
      <c r="H932" s="5"/>
      <c r="I932" s="39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39"/>
      <c r="F933" s="5"/>
      <c r="G933" s="39"/>
      <c r="H933" s="5"/>
      <c r="I933" s="39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39"/>
      <c r="F934" s="5"/>
      <c r="G934" s="39"/>
      <c r="H934" s="5"/>
      <c r="I934" s="39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39"/>
      <c r="F935" s="5"/>
      <c r="G935" s="39"/>
      <c r="H935" s="5"/>
      <c r="I935" s="39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39"/>
      <c r="F936" s="5"/>
      <c r="G936" s="39"/>
      <c r="H936" s="5"/>
      <c r="I936" s="39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39"/>
      <c r="F937" s="5"/>
      <c r="G937" s="39"/>
      <c r="H937" s="5"/>
      <c r="I937" s="39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39"/>
      <c r="F938" s="5"/>
      <c r="G938" s="39"/>
      <c r="H938" s="5"/>
      <c r="I938" s="39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39"/>
      <c r="F939" s="5"/>
      <c r="G939" s="39"/>
      <c r="H939" s="5"/>
      <c r="I939" s="39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39"/>
      <c r="F940" s="5"/>
      <c r="G940" s="39"/>
      <c r="H940" s="5"/>
      <c r="I940" s="39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39"/>
      <c r="F941" s="5"/>
      <c r="G941" s="39"/>
      <c r="H941" s="5"/>
      <c r="I941" s="39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39"/>
      <c r="F942" s="5"/>
      <c r="G942" s="39"/>
      <c r="H942" s="5"/>
      <c r="I942" s="39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39"/>
      <c r="F943" s="5"/>
      <c r="G943" s="39"/>
      <c r="H943" s="5"/>
      <c r="I943" s="39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39"/>
      <c r="F944" s="5"/>
      <c r="G944" s="39"/>
      <c r="H944" s="5"/>
      <c r="I944" s="39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39"/>
      <c r="F945" s="5"/>
      <c r="G945" s="39"/>
      <c r="H945" s="5"/>
      <c r="I945" s="39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39"/>
      <c r="F946" s="5"/>
      <c r="G946" s="39"/>
      <c r="H946" s="5"/>
      <c r="I946" s="39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39"/>
      <c r="F947" s="5"/>
      <c r="G947" s="39"/>
      <c r="H947" s="5"/>
      <c r="I947" s="39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39"/>
      <c r="F948" s="5"/>
      <c r="G948" s="39"/>
      <c r="H948" s="5"/>
      <c r="I948" s="39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39"/>
      <c r="F949" s="5"/>
      <c r="G949" s="39"/>
      <c r="H949" s="5"/>
      <c r="I949" s="39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39"/>
      <c r="F950" s="5"/>
      <c r="G950" s="39"/>
      <c r="H950" s="5"/>
      <c r="I950" s="39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39"/>
      <c r="F951" s="5"/>
      <c r="G951" s="39"/>
      <c r="H951" s="5"/>
      <c r="I951" s="39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39"/>
      <c r="F952" s="5"/>
      <c r="G952" s="39"/>
      <c r="H952" s="5"/>
      <c r="I952" s="39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39"/>
      <c r="F953" s="5"/>
      <c r="G953" s="39"/>
      <c r="H953" s="5"/>
      <c r="I953" s="39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39"/>
      <c r="F954" s="5"/>
      <c r="G954" s="39"/>
      <c r="H954" s="5"/>
      <c r="I954" s="39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39"/>
      <c r="F955" s="5"/>
      <c r="G955" s="39"/>
      <c r="H955" s="5"/>
      <c r="I955" s="39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39"/>
      <c r="F956" s="5"/>
      <c r="G956" s="39"/>
      <c r="H956" s="5"/>
      <c r="I956" s="39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39"/>
      <c r="F957" s="5"/>
      <c r="G957" s="39"/>
      <c r="H957" s="5"/>
      <c r="I957" s="39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39"/>
      <c r="F958" s="5"/>
      <c r="G958" s="39"/>
      <c r="H958" s="5"/>
      <c r="I958" s="39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39"/>
      <c r="F959" s="5"/>
      <c r="G959" s="39"/>
      <c r="H959" s="5"/>
      <c r="I959" s="39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39"/>
      <c r="F960" s="5"/>
      <c r="G960" s="39"/>
      <c r="H960" s="5"/>
      <c r="I960" s="39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39"/>
      <c r="F961" s="5"/>
      <c r="G961" s="39"/>
      <c r="H961" s="5"/>
      <c r="I961" s="39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39"/>
      <c r="F962" s="5"/>
      <c r="G962" s="39"/>
      <c r="H962" s="5"/>
      <c r="I962" s="39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39"/>
      <c r="F963" s="5"/>
      <c r="G963" s="39"/>
      <c r="H963" s="5"/>
      <c r="I963" s="39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39"/>
      <c r="F964" s="5"/>
      <c r="G964" s="39"/>
      <c r="H964" s="5"/>
      <c r="I964" s="39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39"/>
      <c r="F965" s="5"/>
      <c r="G965" s="39"/>
      <c r="H965" s="5"/>
      <c r="I965" s="39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39"/>
      <c r="F966" s="5"/>
      <c r="G966" s="39"/>
      <c r="H966" s="5"/>
      <c r="I966" s="39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39"/>
      <c r="F967" s="5"/>
      <c r="G967" s="39"/>
      <c r="H967" s="5"/>
      <c r="I967" s="39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39"/>
      <c r="F968" s="5"/>
      <c r="G968" s="39"/>
      <c r="H968" s="5"/>
      <c r="I968" s="39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39"/>
      <c r="F969" s="5"/>
      <c r="G969" s="39"/>
      <c r="H969" s="5"/>
      <c r="I969" s="39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39"/>
      <c r="F970" s="5"/>
      <c r="G970" s="39"/>
      <c r="H970" s="5"/>
      <c r="I970" s="39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39"/>
      <c r="F971" s="5"/>
      <c r="G971" s="39"/>
      <c r="H971" s="5"/>
      <c r="I971" s="39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39"/>
      <c r="F972" s="5"/>
      <c r="G972" s="39"/>
      <c r="H972" s="5"/>
      <c r="I972" s="39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39"/>
      <c r="F973" s="5"/>
      <c r="G973" s="39"/>
      <c r="H973" s="5"/>
      <c r="I973" s="39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39"/>
      <c r="F974" s="5"/>
      <c r="G974" s="39"/>
      <c r="H974" s="5"/>
      <c r="I974" s="39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39"/>
      <c r="F975" s="5"/>
      <c r="G975" s="39"/>
      <c r="H975" s="5"/>
      <c r="I975" s="39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39"/>
      <c r="F976" s="5"/>
      <c r="G976" s="39"/>
      <c r="H976" s="5"/>
      <c r="I976" s="39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39"/>
      <c r="F977" s="5"/>
      <c r="G977" s="39"/>
      <c r="H977" s="5"/>
      <c r="I977" s="39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39"/>
      <c r="F978" s="5"/>
      <c r="G978" s="39"/>
      <c r="H978" s="5"/>
      <c r="I978" s="39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39"/>
      <c r="F979" s="5"/>
      <c r="G979" s="39"/>
      <c r="H979" s="5"/>
      <c r="I979" s="39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39"/>
      <c r="F980" s="5"/>
      <c r="G980" s="39"/>
      <c r="H980" s="5"/>
      <c r="I980" s="39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39"/>
      <c r="F981" s="5"/>
      <c r="G981" s="39"/>
      <c r="H981" s="5"/>
      <c r="I981" s="39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39"/>
      <c r="F982" s="5"/>
      <c r="G982" s="39"/>
      <c r="H982" s="5"/>
      <c r="I982" s="39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39"/>
      <c r="F983" s="5"/>
      <c r="G983" s="39"/>
      <c r="H983" s="5"/>
      <c r="I983" s="39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39"/>
      <c r="F984" s="5"/>
      <c r="G984" s="39"/>
      <c r="H984" s="5"/>
      <c r="I984" s="39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39"/>
      <c r="F985" s="5"/>
      <c r="G985" s="39"/>
      <c r="H985" s="5"/>
      <c r="I985" s="39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39"/>
      <c r="F986" s="5"/>
      <c r="G986" s="39"/>
      <c r="H986" s="5"/>
      <c r="I986" s="39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39"/>
      <c r="F987" s="5"/>
      <c r="G987" s="39"/>
      <c r="H987" s="5"/>
      <c r="I987" s="39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39"/>
      <c r="F988" s="5"/>
      <c r="G988" s="39"/>
      <c r="H988" s="5"/>
      <c r="I988" s="39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39"/>
      <c r="F989" s="5"/>
      <c r="G989" s="39"/>
      <c r="H989" s="5"/>
      <c r="I989" s="39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39"/>
      <c r="F990" s="5"/>
      <c r="G990" s="39"/>
      <c r="H990" s="5"/>
      <c r="I990" s="39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39"/>
      <c r="F991" s="5"/>
      <c r="G991" s="39"/>
      <c r="H991" s="5"/>
      <c r="I991" s="39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39"/>
      <c r="F992" s="5"/>
      <c r="G992" s="39"/>
      <c r="H992" s="5"/>
      <c r="I992" s="39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39"/>
      <c r="F993" s="5"/>
      <c r="G993" s="39"/>
      <c r="H993" s="5"/>
      <c r="I993" s="39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39"/>
      <c r="F994" s="5"/>
      <c r="G994" s="39"/>
      <c r="H994" s="5"/>
      <c r="I994" s="39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39"/>
      <c r="F995" s="5"/>
      <c r="G995" s="39"/>
      <c r="H995" s="5"/>
      <c r="I995" s="39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39"/>
      <c r="F996" s="5"/>
      <c r="G996" s="39"/>
      <c r="H996" s="5"/>
      <c r="I996" s="39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39"/>
      <c r="F997" s="5"/>
      <c r="G997" s="39"/>
      <c r="H997" s="5"/>
      <c r="I997" s="39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39"/>
      <c r="F998" s="5"/>
      <c r="G998" s="39"/>
      <c r="H998" s="5"/>
      <c r="I998" s="39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39"/>
      <c r="F999" s="5"/>
      <c r="G999" s="39"/>
      <c r="H999" s="5"/>
      <c r="I999" s="39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39"/>
      <c r="F1000" s="5"/>
      <c r="G1000" s="39"/>
      <c r="H1000" s="5"/>
      <c r="I1000" s="39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39"/>
      <c r="F1001" s="5"/>
      <c r="G1001" s="39"/>
      <c r="H1001" s="5"/>
      <c r="I1001" s="39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39"/>
      <c r="F1002" s="5"/>
      <c r="G1002" s="39"/>
      <c r="H1002" s="5"/>
      <c r="I1002" s="39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39"/>
      <c r="F1003" s="5"/>
      <c r="G1003" s="39"/>
      <c r="H1003" s="5"/>
      <c r="I1003" s="39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39"/>
      <c r="F1004" s="5"/>
      <c r="G1004" s="39"/>
      <c r="H1004" s="5"/>
      <c r="I1004" s="39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39"/>
      <c r="F1005" s="5"/>
      <c r="G1005" s="39"/>
      <c r="H1005" s="5"/>
      <c r="I1005" s="39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39"/>
      <c r="F1006" s="5"/>
      <c r="G1006" s="39"/>
      <c r="H1006" s="5"/>
      <c r="I1006" s="39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39"/>
      <c r="F1007" s="5"/>
      <c r="G1007" s="39"/>
      <c r="H1007" s="5"/>
      <c r="I1007" s="39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39"/>
      <c r="F1008" s="5"/>
      <c r="G1008" s="39"/>
      <c r="H1008" s="5"/>
      <c r="I1008" s="39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39"/>
      <c r="F1009" s="5"/>
      <c r="G1009" s="39"/>
      <c r="H1009" s="5"/>
      <c r="I1009" s="39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39"/>
      <c r="F1010" s="5"/>
      <c r="G1010" s="39"/>
      <c r="H1010" s="5"/>
      <c r="I1010" s="39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</sheetData>
  <mergeCells count="11">
    <mergeCell ref="D1:E1"/>
    <mergeCell ref="A19:E19"/>
    <mergeCell ref="F19:G19"/>
    <mergeCell ref="H19:I19"/>
    <mergeCell ref="A1:A2"/>
    <mergeCell ref="B1:B2"/>
    <mergeCell ref="C1:C2"/>
    <mergeCell ref="F1:G1"/>
    <mergeCell ref="H1:I1"/>
    <mergeCell ref="J1:J2"/>
    <mergeCell ref="K1:K2"/>
  </mergeCells>
  <dataValidations>
    <dataValidation type="list" allowBlank="1" sqref="J3:J18">
      <formula1>"Q1,Q2,Q3"</formula1>
    </dataValidation>
  </dataValidations>
  <hyperlinks>
    <hyperlink r:id="rId1" ref="H3"/>
    <hyperlink r:id="rId2" ref="D4"/>
    <hyperlink r:id="rId3" ref="F4"/>
    <hyperlink r:id="rId4" ref="H4"/>
    <hyperlink r:id="rId5" ref="D5"/>
    <hyperlink r:id="rId6" ref="F5"/>
    <hyperlink r:id="rId7" ref="H5"/>
    <hyperlink r:id="rId8" ref="D6"/>
    <hyperlink r:id="rId9" ref="F6"/>
    <hyperlink r:id="rId10" ref="D7"/>
    <hyperlink r:id="rId11" ref="D8"/>
    <hyperlink r:id="rId12" ref="F8"/>
    <hyperlink r:id="rId13" ref="H8"/>
    <hyperlink r:id="rId14" ref="D9"/>
    <hyperlink r:id="rId15" ref="F9"/>
    <hyperlink r:id="rId16" ref="D10"/>
    <hyperlink r:id="rId17" ref="F10"/>
    <hyperlink r:id="rId18" ref="H10"/>
    <hyperlink r:id="rId19" ref="D11"/>
    <hyperlink r:id="rId20" ref="D12"/>
    <hyperlink r:id="rId21" ref="F12"/>
    <hyperlink r:id="rId22" ref="D13"/>
    <hyperlink r:id="rId23" ref="D14"/>
    <hyperlink r:id="rId24" ref="F14"/>
    <hyperlink r:id="rId25" ref="H14"/>
    <hyperlink r:id="rId26" ref="D15"/>
    <hyperlink r:id="rId27" ref="D16"/>
    <hyperlink r:id="rId28" ref="F16"/>
    <hyperlink r:id="rId29" ref="H16"/>
    <hyperlink r:id="rId30" ref="D17"/>
    <hyperlink r:id="rId31" ref="F17"/>
    <hyperlink r:id="rId32" ref="H17"/>
    <hyperlink r:id="rId33" ref="D18"/>
    <hyperlink r:id="rId34" ref="A22"/>
    <hyperlink r:id="rId35" ref="A23"/>
    <hyperlink r:id="rId36" ref="A24"/>
    <hyperlink r:id="rId37" ref="A25"/>
    <hyperlink r:id="rId38" ref="A26"/>
    <hyperlink r:id="rId39" ref="A27"/>
    <hyperlink r:id="rId40" ref="A28"/>
    <hyperlink r:id="rId41" ref="A29"/>
    <hyperlink r:id="rId42" ref="A30"/>
    <hyperlink r:id="rId43" ref="A31"/>
    <hyperlink r:id="rId44" ref="A32"/>
    <hyperlink r:id="rId45" ref="A33"/>
    <hyperlink r:id="rId46" ref="A34"/>
    <hyperlink r:id="rId47" ref="A35"/>
    <hyperlink r:id="rId48" ref="A36"/>
    <hyperlink r:id="rId49" ref="A37"/>
  </hyperlinks>
  <drawing r:id="rId50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6.25"/>
    <col customWidth="1" min="3" max="3" width="12.0"/>
    <col customWidth="1" min="4" max="4" width="14.5"/>
    <col customWidth="1" min="5" max="5" width="9.38"/>
    <col customWidth="1" min="6" max="6" width="13.75"/>
    <col customWidth="1" min="7" max="7" width="8.88"/>
    <col customWidth="1" min="8" max="8" width="15.5"/>
    <col customWidth="1" min="9" max="9" width="9.88"/>
    <col customWidth="1" min="10" max="10" width="11.25"/>
    <col customWidth="1" min="11" max="11" width="18.63"/>
  </cols>
  <sheetData>
    <row r="1" ht="24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2" t="s">
        <v>5</v>
      </c>
      <c r="I1" s="3"/>
      <c r="J1" s="1" t="s">
        <v>6</v>
      </c>
      <c r="K1" s="1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30.75" customHeight="1">
      <c r="A2" s="7"/>
      <c r="B2" s="7"/>
      <c r="C2" s="7"/>
      <c r="D2" s="8" t="s">
        <v>8</v>
      </c>
      <c r="E2" s="9" t="s">
        <v>9</v>
      </c>
      <c r="F2" s="8" t="s">
        <v>8</v>
      </c>
      <c r="G2" s="9" t="s">
        <v>9</v>
      </c>
      <c r="H2" s="8" t="s">
        <v>8</v>
      </c>
      <c r="I2" s="9" t="s">
        <v>9</v>
      </c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4.75" customHeight="1">
      <c r="A3" s="10" t="s">
        <v>10</v>
      </c>
      <c r="B3" s="10">
        <v>20.0</v>
      </c>
      <c r="C3" s="10" t="b">
        <v>1</v>
      </c>
      <c r="D3" s="15" t="s">
        <v>14</v>
      </c>
      <c r="E3" s="12">
        <v>3278.0</v>
      </c>
      <c r="F3" s="11"/>
      <c r="G3" s="12"/>
      <c r="H3" s="11"/>
      <c r="I3" s="12"/>
      <c r="J3" s="13" t="s">
        <v>3</v>
      </c>
      <c r="K3" s="17">
        <f t="shared" ref="K3:K18" si="1">IF(B3="", "", B3 * IF(J3="Q1", E3, IF(J3="Q2", G3, IF(J3="Q3", I3, MIN(E3, G3, I3)))))</f>
        <v>65560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24.75" customHeight="1">
      <c r="A4" s="10" t="s">
        <v>17</v>
      </c>
      <c r="B4" s="10">
        <v>2.0</v>
      </c>
      <c r="C4" s="10" t="b">
        <v>1</v>
      </c>
      <c r="D4" s="15" t="s">
        <v>19</v>
      </c>
      <c r="E4" s="12">
        <v>1850.0</v>
      </c>
      <c r="F4" s="15" t="s">
        <v>19</v>
      </c>
      <c r="G4" s="12">
        <v>3650.0</v>
      </c>
      <c r="H4" s="15" t="s">
        <v>21</v>
      </c>
      <c r="I4" s="12">
        <v>2260.0</v>
      </c>
      <c r="J4" s="13" t="s">
        <v>3</v>
      </c>
      <c r="K4" s="17">
        <f t="shared" si="1"/>
        <v>3700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24.75" customHeight="1">
      <c r="A5" s="10" t="s">
        <v>25</v>
      </c>
      <c r="B5" s="10">
        <v>4.0</v>
      </c>
      <c r="C5" s="10" t="b">
        <v>1</v>
      </c>
      <c r="D5" s="15" t="s">
        <v>26</v>
      </c>
      <c r="E5" s="12">
        <v>378.0</v>
      </c>
      <c r="F5" s="15" t="s">
        <v>27</v>
      </c>
      <c r="G5" s="12">
        <v>383.0</v>
      </c>
      <c r="H5" s="15" t="s">
        <v>29</v>
      </c>
      <c r="I5" s="12">
        <v>389.0</v>
      </c>
      <c r="J5" s="13" t="s">
        <v>5</v>
      </c>
      <c r="K5" s="17">
        <f t="shared" si="1"/>
        <v>1556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24.75" customHeight="1">
      <c r="A6" s="10" t="s">
        <v>32</v>
      </c>
      <c r="B6" s="10">
        <v>3.0</v>
      </c>
      <c r="C6" s="10" t="b">
        <v>1</v>
      </c>
      <c r="D6" s="15" t="s">
        <v>27</v>
      </c>
      <c r="E6" s="12">
        <v>219.0</v>
      </c>
      <c r="F6" s="15" t="s">
        <v>19</v>
      </c>
      <c r="G6" s="12">
        <v>205.0</v>
      </c>
      <c r="H6" s="15" t="s">
        <v>29</v>
      </c>
      <c r="I6" s="12">
        <v>258.0</v>
      </c>
      <c r="J6" s="13" t="s">
        <v>3</v>
      </c>
      <c r="K6" s="17">
        <f t="shared" si="1"/>
        <v>657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24.75" customHeight="1">
      <c r="A7" s="10" t="s">
        <v>38</v>
      </c>
      <c r="B7" s="10">
        <v>4.0</v>
      </c>
      <c r="C7" s="10" t="b">
        <v>1</v>
      </c>
      <c r="D7" s="15" t="s">
        <v>29</v>
      </c>
      <c r="E7" s="12">
        <v>30.0</v>
      </c>
      <c r="F7" s="15" t="s">
        <v>19</v>
      </c>
      <c r="G7" s="12">
        <v>49.0</v>
      </c>
      <c r="H7" s="21"/>
      <c r="I7" s="12"/>
      <c r="J7" s="13" t="s">
        <v>3</v>
      </c>
      <c r="K7" s="17">
        <f t="shared" si="1"/>
        <v>120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4.75" customHeight="1">
      <c r="A8" s="10" t="s">
        <v>34</v>
      </c>
      <c r="B8" s="10">
        <v>5.0</v>
      </c>
      <c r="C8" s="10" t="b">
        <v>1</v>
      </c>
      <c r="D8" s="15" t="s">
        <v>29</v>
      </c>
      <c r="E8" s="12">
        <v>3.0</v>
      </c>
      <c r="F8" s="15" t="s">
        <v>27</v>
      </c>
      <c r="G8" s="12">
        <v>22.0</v>
      </c>
      <c r="H8" s="21"/>
      <c r="I8" s="12"/>
      <c r="J8" s="13" t="s">
        <v>3</v>
      </c>
      <c r="K8" s="17">
        <f t="shared" si="1"/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24.75" customHeight="1">
      <c r="A9" s="10" t="s">
        <v>45</v>
      </c>
      <c r="B9" s="10">
        <v>6.0</v>
      </c>
      <c r="C9" s="10" t="b">
        <v>1</v>
      </c>
      <c r="D9" s="15" t="s">
        <v>21</v>
      </c>
      <c r="E9" s="25">
        <v>29.0</v>
      </c>
      <c r="F9" s="15" t="s">
        <v>29</v>
      </c>
      <c r="G9" s="12">
        <v>27.0</v>
      </c>
      <c r="H9" s="15" t="s">
        <v>19</v>
      </c>
      <c r="I9" s="12">
        <v>45.0</v>
      </c>
      <c r="J9" s="13" t="s">
        <v>3</v>
      </c>
      <c r="K9" s="17">
        <f t="shared" si="1"/>
        <v>174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24.75" customHeight="1">
      <c r="A10" s="10" t="s">
        <v>50</v>
      </c>
      <c r="B10" s="10">
        <v>3.0</v>
      </c>
      <c r="C10" s="10" t="b">
        <v>1</v>
      </c>
      <c r="D10" s="15" t="s">
        <v>29</v>
      </c>
      <c r="E10" s="12">
        <v>96.0</v>
      </c>
      <c r="F10" s="11"/>
      <c r="G10" s="25"/>
      <c r="H10" s="21"/>
      <c r="I10" s="12"/>
      <c r="J10" s="13" t="s">
        <v>3</v>
      </c>
      <c r="K10" s="17">
        <f t="shared" si="1"/>
        <v>288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24.75" customHeight="1">
      <c r="A11" s="10" t="s">
        <v>56</v>
      </c>
      <c r="B11" s="10">
        <v>1.0</v>
      </c>
      <c r="C11" s="10" t="b">
        <v>1</v>
      </c>
      <c r="D11" s="15" t="s">
        <v>19</v>
      </c>
      <c r="E11" s="25">
        <v>3295.0</v>
      </c>
      <c r="F11" s="15" t="s">
        <v>21</v>
      </c>
      <c r="G11" s="12">
        <v>2499.0</v>
      </c>
      <c r="H11" s="11"/>
      <c r="I11" s="12"/>
      <c r="J11" s="13" t="s">
        <v>4</v>
      </c>
      <c r="K11" s="17">
        <f t="shared" si="1"/>
        <v>2499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24.75" customHeight="1">
      <c r="A12" s="10" t="s">
        <v>59</v>
      </c>
      <c r="B12" s="10">
        <v>2.0</v>
      </c>
      <c r="C12" s="10" t="b">
        <v>1</v>
      </c>
      <c r="D12" s="15" t="s">
        <v>19</v>
      </c>
      <c r="E12" s="25">
        <v>3275.0</v>
      </c>
      <c r="F12" s="15" t="s">
        <v>21</v>
      </c>
      <c r="G12" s="12">
        <v>5384.0</v>
      </c>
      <c r="H12" s="11"/>
      <c r="I12" s="12"/>
      <c r="J12" s="13" t="s">
        <v>3</v>
      </c>
      <c r="K12" s="17">
        <f t="shared" si="1"/>
        <v>6550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24.75" customHeight="1">
      <c r="A13" s="10" t="s">
        <v>64</v>
      </c>
      <c r="B13" s="10">
        <v>3.0</v>
      </c>
      <c r="C13" s="10" t="b">
        <v>1</v>
      </c>
      <c r="D13" s="15" t="s">
        <v>29</v>
      </c>
      <c r="E13" s="12">
        <v>91.0</v>
      </c>
      <c r="F13" s="21"/>
      <c r="G13" s="12"/>
      <c r="H13" s="21"/>
      <c r="I13" s="12"/>
      <c r="J13" s="13" t="s">
        <v>3</v>
      </c>
      <c r="K13" s="17">
        <f t="shared" si="1"/>
        <v>273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24.75" customHeight="1">
      <c r="A14" s="10" t="s">
        <v>66</v>
      </c>
      <c r="B14" s="10">
        <v>3.0</v>
      </c>
      <c r="C14" s="10" t="b">
        <v>1</v>
      </c>
      <c r="D14" s="11"/>
      <c r="E14" s="12"/>
      <c r="F14" s="21"/>
      <c r="G14" s="12"/>
      <c r="H14" s="21"/>
      <c r="I14" s="12"/>
      <c r="J14" s="13" t="s">
        <v>3</v>
      </c>
      <c r="K14" s="17">
        <f t="shared" si="1"/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24.75" customHeight="1">
      <c r="A15" s="10" t="s">
        <v>69</v>
      </c>
      <c r="B15" s="10">
        <v>3.0</v>
      </c>
      <c r="C15" s="10" t="b">
        <v>1</v>
      </c>
      <c r="D15" s="11"/>
      <c r="E15" s="12"/>
      <c r="F15" s="11"/>
      <c r="G15" s="12"/>
      <c r="H15" s="11"/>
      <c r="I15" s="25"/>
      <c r="J15" s="13" t="s">
        <v>3</v>
      </c>
      <c r="K15" s="17">
        <f t="shared" si="1"/>
        <v>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24.75" customHeight="1">
      <c r="A16" s="10" t="s">
        <v>72</v>
      </c>
      <c r="B16" s="10">
        <v>3.0</v>
      </c>
      <c r="C16" s="10" t="b">
        <v>1</v>
      </c>
      <c r="D16" s="11"/>
      <c r="E16" s="12"/>
      <c r="F16" s="11"/>
      <c r="G16" s="12"/>
      <c r="H16" s="21"/>
      <c r="I16" s="12"/>
      <c r="J16" s="13" t="s">
        <v>3</v>
      </c>
      <c r="K16" s="17">
        <f t="shared" si="1"/>
        <v>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24.75" customHeight="1">
      <c r="A17" s="10" t="s">
        <v>73</v>
      </c>
      <c r="B17" s="10">
        <v>10.0</v>
      </c>
      <c r="C17" s="10" t="b">
        <v>1</v>
      </c>
      <c r="D17" s="21"/>
      <c r="E17" s="12"/>
      <c r="F17" s="21"/>
      <c r="G17" s="12"/>
      <c r="H17" s="21"/>
      <c r="I17" s="12"/>
      <c r="J17" s="13" t="s">
        <v>3</v>
      </c>
      <c r="K17" s="17">
        <f t="shared" si="1"/>
        <v>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24.75" customHeight="1">
      <c r="A18" s="10" t="s">
        <v>74</v>
      </c>
      <c r="B18" s="10">
        <v>50.0</v>
      </c>
      <c r="C18" s="10" t="b">
        <v>1</v>
      </c>
      <c r="D18" s="21"/>
      <c r="E18" s="12"/>
      <c r="F18" s="21"/>
      <c r="G18" s="12"/>
      <c r="H18" s="21"/>
      <c r="I18" s="12"/>
      <c r="J18" s="13" t="s">
        <v>3</v>
      </c>
      <c r="K18" s="17">
        <f t="shared" si="1"/>
        <v>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23.25" customHeight="1">
      <c r="A19" s="28" t="s">
        <v>54</v>
      </c>
      <c r="B19" s="3"/>
      <c r="C19" s="3"/>
      <c r="D19" s="3"/>
      <c r="E19" s="3"/>
      <c r="F19" s="29"/>
      <c r="G19" s="3"/>
      <c r="H19" s="29"/>
      <c r="I19" s="3"/>
      <c r="J19" s="35"/>
      <c r="K19" s="33">
        <f>SUM(K3:K18)</f>
        <v>81392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36" t="s">
        <v>76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36" t="s">
        <v>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36" t="s">
        <v>78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36" t="s">
        <v>79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36" t="s">
        <v>80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36" t="s">
        <v>81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36" t="s">
        <v>82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36" t="s">
        <v>83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36" t="s">
        <v>84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36" t="s">
        <v>85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36" t="s">
        <v>86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36" t="s">
        <v>87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36" t="s">
        <v>88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36" t="s">
        <v>89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36" t="s">
        <v>91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36" t="s">
        <v>92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36" t="s">
        <v>93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</sheetData>
  <mergeCells count="11">
    <mergeCell ref="D1:E1"/>
    <mergeCell ref="A19:E19"/>
    <mergeCell ref="F19:G19"/>
    <mergeCell ref="H19:I19"/>
    <mergeCell ref="A1:A2"/>
    <mergeCell ref="B1:B2"/>
    <mergeCell ref="C1:C2"/>
    <mergeCell ref="F1:G1"/>
    <mergeCell ref="H1:I1"/>
    <mergeCell ref="J1:J2"/>
    <mergeCell ref="K1:K2"/>
  </mergeCells>
  <dataValidations>
    <dataValidation type="list" allowBlank="1" sqref="J3:J18">
      <formula1>"Q1,Q2,Q3"</formula1>
    </dataValidation>
  </dataValidations>
  <hyperlinks>
    <hyperlink r:id="rId1" ref="D3"/>
    <hyperlink r:id="rId2" ref="D4"/>
    <hyperlink r:id="rId3" ref="F4"/>
    <hyperlink r:id="rId4" ref="H4"/>
    <hyperlink r:id="rId5" ref="D5"/>
    <hyperlink r:id="rId6" ref="F5"/>
    <hyperlink r:id="rId7" ref="H5"/>
    <hyperlink r:id="rId8" ref="D6"/>
    <hyperlink r:id="rId9" ref="F6"/>
    <hyperlink r:id="rId10" ref="H6"/>
    <hyperlink r:id="rId11" ref="D7"/>
    <hyperlink r:id="rId12" ref="F7"/>
    <hyperlink r:id="rId13" ref="D8"/>
    <hyperlink r:id="rId14" ref="F8"/>
    <hyperlink r:id="rId15" ref="D9"/>
    <hyperlink r:id="rId16" ref="F9"/>
    <hyperlink r:id="rId17" ref="H9"/>
    <hyperlink r:id="rId18" ref="D10"/>
    <hyperlink r:id="rId19" ref="D11"/>
    <hyperlink r:id="rId20" ref="F11"/>
    <hyperlink r:id="rId21" ref="D12"/>
    <hyperlink r:id="rId22" ref="F12"/>
    <hyperlink r:id="rId23" ref="D13"/>
  </hyperlinks>
  <drawing r:id="rId24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6.88"/>
    <col customWidth="1" min="3" max="3" width="8.5"/>
    <col customWidth="1" min="4" max="4" width="15.63"/>
    <col customWidth="1" min="5" max="5" width="9.5"/>
    <col customWidth="1" min="6" max="6" width="15.63"/>
    <col customWidth="1" min="7" max="7" width="9.5"/>
    <col customWidth="1" min="8" max="8" width="15.63"/>
    <col customWidth="1" min="9" max="9" width="9.5"/>
    <col customWidth="1" min="10" max="10" width="10.13"/>
    <col customWidth="1" min="11" max="11" width="20.38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2" t="s">
        <v>5</v>
      </c>
      <c r="I1" s="3"/>
      <c r="J1" s="1" t="s">
        <v>6</v>
      </c>
      <c r="K1" s="1" t="s">
        <v>7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24.75" customHeight="1">
      <c r="A2" s="7"/>
      <c r="B2" s="7"/>
      <c r="C2" s="7"/>
      <c r="D2" s="8" t="s">
        <v>8</v>
      </c>
      <c r="E2" s="9" t="s">
        <v>9</v>
      </c>
      <c r="F2" s="8" t="s">
        <v>8</v>
      </c>
      <c r="G2" s="9" t="s">
        <v>9</v>
      </c>
      <c r="H2" s="8" t="s">
        <v>8</v>
      </c>
      <c r="I2" s="9" t="s">
        <v>9</v>
      </c>
      <c r="J2" s="7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25.5" customHeight="1">
      <c r="A3" s="10" t="s">
        <v>11</v>
      </c>
      <c r="B3" s="10">
        <v>1.0</v>
      </c>
      <c r="C3" s="10" t="b">
        <v>1</v>
      </c>
      <c r="D3" s="11"/>
      <c r="E3" s="12"/>
      <c r="F3" s="11"/>
      <c r="G3" s="12"/>
      <c r="H3" s="11"/>
      <c r="I3" s="12"/>
      <c r="J3" s="14" t="s">
        <v>3</v>
      </c>
      <c r="K3" s="16">
        <f t="shared" ref="K3:K17" si="1">IF(B3="", "", B3 * IF(J3="Q1", E3, IF(J3="Q2", G3, IF(J3="Q3", I3, MIN(E3, G3, I3)))))</f>
        <v>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25.5" customHeight="1">
      <c r="A4" s="10" t="s">
        <v>12</v>
      </c>
      <c r="B4" s="10">
        <v>1.0</v>
      </c>
      <c r="C4" s="10" t="b">
        <v>1</v>
      </c>
      <c r="D4" s="11"/>
      <c r="E4" s="12"/>
      <c r="F4" s="11"/>
      <c r="G4" s="12"/>
      <c r="H4" s="11"/>
      <c r="I4" s="12"/>
      <c r="J4" s="19"/>
      <c r="K4" s="16">
        <f t="shared" si="1"/>
        <v>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25.5" customHeight="1">
      <c r="A5" s="10" t="s">
        <v>18</v>
      </c>
      <c r="B5" s="10">
        <v>1.0</v>
      </c>
      <c r="C5" s="10" t="b">
        <v>0</v>
      </c>
      <c r="D5" s="21"/>
      <c r="E5" s="12"/>
      <c r="F5" s="21"/>
      <c r="G5" s="12"/>
      <c r="H5" s="21"/>
      <c r="I5" s="12"/>
      <c r="J5" s="19"/>
      <c r="K5" s="16">
        <f t="shared" si="1"/>
        <v>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25.5" customHeight="1">
      <c r="A6" s="10" t="s">
        <v>17</v>
      </c>
      <c r="B6" s="10">
        <v>2.0</v>
      </c>
      <c r="C6" s="10" t="b">
        <v>0</v>
      </c>
      <c r="D6" s="11"/>
      <c r="E6" s="12"/>
      <c r="F6" s="11"/>
      <c r="G6" s="12"/>
      <c r="H6" s="11"/>
      <c r="I6" s="12"/>
      <c r="J6" s="19"/>
      <c r="K6" s="16">
        <f t="shared" si="1"/>
        <v>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25.5" customHeight="1">
      <c r="A7" s="10" t="s">
        <v>24</v>
      </c>
      <c r="B7" s="10">
        <v>1.0</v>
      </c>
      <c r="C7" s="10" t="b">
        <v>0</v>
      </c>
      <c r="D7" s="11"/>
      <c r="E7" s="12"/>
      <c r="F7" s="11"/>
      <c r="G7" s="12"/>
      <c r="H7" s="21"/>
      <c r="I7" s="12"/>
      <c r="J7" s="19"/>
      <c r="K7" s="16">
        <f t="shared" si="1"/>
        <v>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25.5" customHeight="1">
      <c r="A8" s="10" t="s">
        <v>28</v>
      </c>
      <c r="B8" s="10">
        <v>1.0</v>
      </c>
      <c r="C8" s="10" t="b">
        <v>0</v>
      </c>
      <c r="D8" s="11"/>
      <c r="E8" s="12"/>
      <c r="F8" s="21"/>
      <c r="G8" s="12"/>
      <c r="H8" s="21"/>
      <c r="I8" s="12"/>
      <c r="J8" s="19"/>
      <c r="K8" s="16">
        <f t="shared" si="1"/>
        <v>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25.5" customHeight="1">
      <c r="A9" s="10" t="s">
        <v>31</v>
      </c>
      <c r="B9" s="10">
        <v>4.0</v>
      </c>
      <c r="C9" s="10" t="b">
        <v>0</v>
      </c>
      <c r="D9" s="11"/>
      <c r="E9" s="25"/>
      <c r="F9" s="11"/>
      <c r="G9" s="12"/>
      <c r="H9" s="21"/>
      <c r="I9" s="12"/>
      <c r="J9" s="19"/>
      <c r="K9" s="16">
        <f t="shared" si="1"/>
        <v>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25.5" customHeight="1">
      <c r="A10" s="10" t="s">
        <v>35</v>
      </c>
      <c r="B10" s="10">
        <v>1.0</v>
      </c>
      <c r="C10" s="10" t="b">
        <v>0</v>
      </c>
      <c r="D10" s="11"/>
      <c r="E10" s="12"/>
      <c r="F10" s="11"/>
      <c r="G10" s="25"/>
      <c r="H10" s="21"/>
      <c r="I10" s="12"/>
      <c r="J10" s="19"/>
      <c r="K10" s="16">
        <f t="shared" si="1"/>
        <v>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25.5" customHeight="1">
      <c r="A11" s="10" t="s">
        <v>37</v>
      </c>
      <c r="B11" s="10">
        <v>1.0</v>
      </c>
      <c r="C11" s="10" t="b">
        <v>0</v>
      </c>
      <c r="D11" s="11"/>
      <c r="E11" s="25"/>
      <c r="F11" s="11"/>
      <c r="G11" s="12"/>
      <c r="H11" s="11"/>
      <c r="I11" s="12"/>
      <c r="J11" s="19"/>
      <c r="K11" s="16">
        <f t="shared" si="1"/>
        <v>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25.5" customHeight="1">
      <c r="A12" s="10" t="s">
        <v>40</v>
      </c>
      <c r="B12" s="10">
        <v>3.0</v>
      </c>
      <c r="C12" s="10" t="b">
        <v>0</v>
      </c>
      <c r="D12" s="21"/>
      <c r="E12" s="12"/>
      <c r="F12" s="21"/>
      <c r="G12" s="12"/>
      <c r="H12" s="21"/>
      <c r="I12" s="12"/>
      <c r="J12" s="19"/>
      <c r="K12" s="16">
        <f t="shared" si="1"/>
        <v>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25.5" customHeight="1">
      <c r="A13" s="10" t="s">
        <v>42</v>
      </c>
      <c r="B13" s="10">
        <v>2.0</v>
      </c>
      <c r="C13" s="10" t="b">
        <v>0</v>
      </c>
      <c r="D13" s="11"/>
      <c r="E13" s="12"/>
      <c r="F13" s="11"/>
      <c r="G13" s="12"/>
      <c r="H13" s="21"/>
      <c r="I13" s="12"/>
      <c r="J13" s="19"/>
      <c r="K13" s="16">
        <f t="shared" si="1"/>
        <v>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25.5" customHeight="1">
      <c r="A14" s="10" t="s">
        <v>43</v>
      </c>
      <c r="B14" s="10">
        <v>2.0</v>
      </c>
      <c r="C14" s="10" t="b">
        <v>0</v>
      </c>
      <c r="D14" s="11"/>
      <c r="E14" s="12"/>
      <c r="F14" s="21"/>
      <c r="G14" s="12"/>
      <c r="H14" s="21"/>
      <c r="I14" s="12"/>
      <c r="J14" s="19"/>
      <c r="K14" s="16">
        <f t="shared" si="1"/>
        <v>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5.5" customHeight="1">
      <c r="A15" s="10" t="s">
        <v>46</v>
      </c>
      <c r="B15" s="10">
        <v>1.0</v>
      </c>
      <c r="C15" s="10" t="b">
        <v>0</v>
      </c>
      <c r="D15" s="11"/>
      <c r="E15" s="12"/>
      <c r="F15" s="11"/>
      <c r="G15" s="12"/>
      <c r="H15" s="11"/>
      <c r="I15" s="25"/>
      <c r="J15" s="19"/>
      <c r="K15" s="16">
        <f t="shared" si="1"/>
        <v>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25.5" customHeight="1">
      <c r="A16" s="10" t="s">
        <v>49</v>
      </c>
      <c r="B16" s="10">
        <v>1.0</v>
      </c>
      <c r="C16" s="10" t="b">
        <v>0</v>
      </c>
      <c r="D16" s="11"/>
      <c r="E16" s="12"/>
      <c r="F16" s="11"/>
      <c r="G16" s="12"/>
      <c r="H16" s="21"/>
      <c r="I16" s="12"/>
      <c r="J16" s="19"/>
      <c r="K16" s="16">
        <f t="shared" si="1"/>
        <v>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25.5" customHeight="1">
      <c r="A17" s="10" t="s">
        <v>52</v>
      </c>
      <c r="B17" s="10">
        <v>4.0</v>
      </c>
      <c r="C17" s="10" t="b">
        <v>0</v>
      </c>
      <c r="D17" s="21"/>
      <c r="E17" s="12"/>
      <c r="F17" s="21"/>
      <c r="G17" s="12"/>
      <c r="H17" s="21"/>
      <c r="I17" s="12"/>
      <c r="J17" s="19"/>
      <c r="K17" s="16">
        <f t="shared" si="1"/>
        <v>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28" t="s">
        <v>54</v>
      </c>
      <c r="B18" s="3"/>
      <c r="C18" s="3"/>
      <c r="D18" s="3"/>
      <c r="E18" s="3"/>
      <c r="F18" s="29"/>
      <c r="G18" s="3"/>
      <c r="H18" s="29"/>
      <c r="I18" s="3"/>
      <c r="J18" s="30"/>
      <c r="K18" s="31">
        <f>SUM(K3:K17)</f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mergeCells count="11">
    <mergeCell ref="D1:E1"/>
    <mergeCell ref="A18:E18"/>
    <mergeCell ref="F18:G18"/>
    <mergeCell ref="H18:I18"/>
    <mergeCell ref="A1:A2"/>
    <mergeCell ref="B1:B2"/>
    <mergeCell ref="C1:C2"/>
    <mergeCell ref="F1:G1"/>
    <mergeCell ref="H1:I1"/>
    <mergeCell ref="J1:J2"/>
    <mergeCell ref="K1:K2"/>
  </mergeCells>
  <dataValidations>
    <dataValidation type="list" allowBlank="1" sqref="J3:J17">
      <formula1>"Q1,Q2,Q3"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5.25"/>
    <col customWidth="1" min="3" max="3" width="8.38"/>
    <col customWidth="1" min="4" max="4" width="14.25"/>
    <col customWidth="1" min="5" max="5" width="9.13"/>
    <col customWidth="1" min="6" max="6" width="10.88"/>
    <col customWidth="1" min="7" max="7" width="9.63"/>
    <col customWidth="1" min="8" max="8" width="10.88"/>
    <col customWidth="1" min="9" max="9" width="8.5"/>
    <col customWidth="1" min="10" max="10" width="8.88"/>
    <col customWidth="1" min="11" max="11" width="16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2" t="s">
        <v>5</v>
      </c>
      <c r="I1" s="3"/>
      <c r="J1" s="1" t="s">
        <v>6</v>
      </c>
      <c r="K1" s="1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2.5" customHeight="1">
      <c r="A2" s="7"/>
      <c r="B2" s="7"/>
      <c r="C2" s="7"/>
      <c r="D2" s="8" t="s">
        <v>8</v>
      </c>
      <c r="E2" s="9" t="s">
        <v>9</v>
      </c>
      <c r="F2" s="8" t="s">
        <v>8</v>
      </c>
      <c r="G2" s="9" t="s">
        <v>9</v>
      </c>
      <c r="H2" s="8" t="s">
        <v>8</v>
      </c>
      <c r="I2" s="9" t="s">
        <v>9</v>
      </c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8.75" customHeight="1">
      <c r="A3" s="10" t="s">
        <v>12</v>
      </c>
      <c r="B3" s="10">
        <v>1.0</v>
      </c>
      <c r="C3" s="10" t="b">
        <v>0</v>
      </c>
      <c r="D3" s="11"/>
      <c r="E3" s="12"/>
      <c r="F3" s="11"/>
      <c r="G3" s="12"/>
      <c r="H3" s="11"/>
      <c r="I3" s="12"/>
      <c r="J3" s="13" t="s">
        <v>3</v>
      </c>
      <c r="K3" s="17">
        <f t="shared" ref="K3:K17" si="1">IF(B3="", "", B3 * IF(J3="Q1", E3, IF(J3="Q2", G3, IF(J3="Q3", I3, MIN(E3, G3, I3)))))</f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8.75" customHeight="1">
      <c r="A4" s="10" t="s">
        <v>16</v>
      </c>
      <c r="B4" s="10">
        <v>1.0</v>
      </c>
      <c r="C4" s="18"/>
      <c r="D4" s="11"/>
      <c r="E4" s="12"/>
      <c r="F4" s="11"/>
      <c r="G4" s="12"/>
      <c r="H4" s="11"/>
      <c r="I4" s="12"/>
      <c r="J4" s="13" t="s">
        <v>3</v>
      </c>
      <c r="K4" s="17">
        <f t="shared" si="1"/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8.75" customHeight="1">
      <c r="A5" s="10" t="s">
        <v>20</v>
      </c>
      <c r="B5" s="10">
        <v>1.0</v>
      </c>
      <c r="C5" s="18"/>
      <c r="D5" s="21"/>
      <c r="E5" s="12"/>
      <c r="F5" s="21"/>
      <c r="G5" s="12"/>
      <c r="H5" s="21"/>
      <c r="I5" s="12"/>
      <c r="J5" s="24"/>
      <c r="K5" s="17">
        <f t="shared" si="1"/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8.75" customHeight="1">
      <c r="A6" s="10" t="s">
        <v>17</v>
      </c>
      <c r="B6" s="10">
        <v>2.0</v>
      </c>
      <c r="C6" s="10"/>
      <c r="D6" s="11"/>
      <c r="E6" s="12"/>
      <c r="F6" s="11"/>
      <c r="G6" s="12"/>
      <c r="H6" s="11"/>
      <c r="I6" s="12"/>
      <c r="J6" s="24"/>
      <c r="K6" s="17">
        <f t="shared" si="1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8.75" customHeight="1">
      <c r="A7" s="10" t="s">
        <v>30</v>
      </c>
      <c r="B7" s="10">
        <v>1.0</v>
      </c>
      <c r="C7" s="10"/>
      <c r="D7" s="11"/>
      <c r="E7" s="12"/>
      <c r="F7" s="11"/>
      <c r="G7" s="12"/>
      <c r="H7" s="21"/>
      <c r="I7" s="12"/>
      <c r="J7" s="24"/>
      <c r="K7" s="17">
        <f t="shared" si="1"/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8.75" customHeight="1">
      <c r="A8" s="10" t="s">
        <v>34</v>
      </c>
      <c r="B8" s="10">
        <v>1.0</v>
      </c>
      <c r="C8" s="10"/>
      <c r="D8" s="11"/>
      <c r="E8" s="12"/>
      <c r="F8" s="21"/>
      <c r="G8" s="12"/>
      <c r="H8" s="21"/>
      <c r="I8" s="12"/>
      <c r="J8" s="24"/>
      <c r="K8" s="17">
        <f t="shared" si="1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8.75" customHeight="1">
      <c r="A9" s="10" t="s">
        <v>36</v>
      </c>
      <c r="B9" s="10">
        <v>1.0</v>
      </c>
      <c r="C9" s="18"/>
      <c r="D9" s="11"/>
      <c r="E9" s="25"/>
      <c r="F9" s="11"/>
      <c r="G9" s="12"/>
      <c r="H9" s="21"/>
      <c r="I9" s="12"/>
      <c r="J9" s="24"/>
      <c r="K9" s="17">
        <f t="shared" si="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8.75" customHeight="1">
      <c r="A10" s="10" t="s">
        <v>39</v>
      </c>
      <c r="B10" s="10">
        <v>1.0</v>
      </c>
      <c r="C10" s="18"/>
      <c r="D10" s="11"/>
      <c r="E10" s="12"/>
      <c r="F10" s="11"/>
      <c r="G10" s="25"/>
      <c r="H10" s="21"/>
      <c r="I10" s="12"/>
      <c r="J10" s="24"/>
      <c r="K10" s="17">
        <f t="shared" si="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8.75" customHeight="1">
      <c r="A11" s="10"/>
      <c r="B11" s="10"/>
      <c r="C11" s="18"/>
      <c r="D11" s="11"/>
      <c r="E11" s="25"/>
      <c r="F11" s="11"/>
      <c r="G11" s="12"/>
      <c r="H11" s="11"/>
      <c r="I11" s="12"/>
      <c r="J11" s="24"/>
      <c r="K11" s="17" t="str">
        <f t="shared" si="1"/>
        <v/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8.75" customHeight="1">
      <c r="A12" s="10"/>
      <c r="B12" s="10"/>
      <c r="C12" s="10"/>
      <c r="D12" s="21"/>
      <c r="E12" s="12"/>
      <c r="F12" s="21"/>
      <c r="G12" s="12"/>
      <c r="H12" s="21"/>
      <c r="I12" s="12"/>
      <c r="J12" s="24"/>
      <c r="K12" s="17" t="str">
        <f t="shared" si="1"/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8.75" customHeight="1">
      <c r="A13" s="10"/>
      <c r="B13" s="10"/>
      <c r="C13" s="10"/>
      <c r="D13" s="11"/>
      <c r="E13" s="12"/>
      <c r="F13" s="11"/>
      <c r="G13" s="12"/>
      <c r="H13" s="21"/>
      <c r="I13" s="12"/>
      <c r="J13" s="24"/>
      <c r="K13" s="17" t="str">
        <f t="shared" si="1"/>
        <v/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8.75" customHeight="1">
      <c r="A14" s="10"/>
      <c r="B14" s="10"/>
      <c r="C14" s="10"/>
      <c r="D14" s="11"/>
      <c r="E14" s="12"/>
      <c r="F14" s="21"/>
      <c r="G14" s="12"/>
      <c r="H14" s="21"/>
      <c r="I14" s="12"/>
      <c r="J14" s="24"/>
      <c r="K14" s="17" t="str">
        <f t="shared" si="1"/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8.75" customHeight="1">
      <c r="A15" s="10"/>
      <c r="B15" s="10"/>
      <c r="C15" s="10"/>
      <c r="D15" s="11"/>
      <c r="E15" s="12"/>
      <c r="F15" s="11"/>
      <c r="G15" s="12"/>
      <c r="H15" s="11"/>
      <c r="I15" s="25"/>
      <c r="J15" s="24"/>
      <c r="K15" s="17" t="str">
        <f t="shared" si="1"/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8.75" customHeight="1">
      <c r="A16" s="10"/>
      <c r="B16" s="10"/>
      <c r="C16" s="18"/>
      <c r="D16" s="11"/>
      <c r="E16" s="12"/>
      <c r="F16" s="11"/>
      <c r="G16" s="12"/>
      <c r="H16" s="21"/>
      <c r="I16" s="12"/>
      <c r="J16" s="24"/>
      <c r="K16" s="17" t="str">
        <f t="shared" si="1"/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8.75" customHeight="1">
      <c r="A17" s="10"/>
      <c r="B17" s="10"/>
      <c r="C17" s="18"/>
      <c r="D17" s="21"/>
      <c r="E17" s="12"/>
      <c r="F17" s="21"/>
      <c r="G17" s="12"/>
      <c r="H17" s="21"/>
      <c r="I17" s="12"/>
      <c r="J17" s="24"/>
      <c r="K17" s="17" t="str">
        <f t="shared" si="1"/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28" t="s">
        <v>54</v>
      </c>
      <c r="B18" s="3"/>
      <c r="C18" s="3"/>
      <c r="D18" s="3"/>
      <c r="E18" s="3"/>
      <c r="F18" s="3"/>
      <c r="G18" s="3"/>
      <c r="H18" s="3"/>
      <c r="I18" s="3"/>
      <c r="J18" s="32"/>
      <c r="K18" s="33">
        <f>SUM(K3:K17)</f>
        <v>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9">
    <mergeCell ref="J1:J2"/>
    <mergeCell ref="A18:J18"/>
    <mergeCell ref="A1:A2"/>
    <mergeCell ref="B1:B2"/>
    <mergeCell ref="C1:C2"/>
    <mergeCell ref="D1:E1"/>
    <mergeCell ref="F1:G1"/>
    <mergeCell ref="H1:I1"/>
    <mergeCell ref="K1:K2"/>
  </mergeCells>
  <dataValidations>
    <dataValidation type="list" allowBlank="1" sqref="J3:J17">
      <formula1>"Q1,Q2,Q3"</formula1>
    </dataValidation>
  </dataValidations>
  <drawing r:id="rId1"/>
  <tableParts count="1">
    <tablePart r:id="rId3"/>
  </tableParts>
</worksheet>
</file>